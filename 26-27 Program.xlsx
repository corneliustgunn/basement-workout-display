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Roadmap" sheetId="2" r:id="rId6"/>
    <sheet state="visible" name="Calendar" sheetId="3" r:id="rId7"/>
    <sheet state="visible" name="Workout Log" sheetId="4" r:id="rId8"/>
    <sheet state="visible" name="Cardio Log" sheetId="5" r:id="rId9"/>
    <sheet state="visible" name="Progress" sheetId="6" r:id="rId10"/>
  </sheets>
  <definedNames/>
  <calcPr/>
</workbook>
</file>

<file path=xl/sharedStrings.xml><?xml version="1.0" encoding="utf-8"?>
<sst xmlns="http://schemas.openxmlformats.org/spreadsheetml/2006/main" count="956" uniqueCount="593">
  <si>
    <t>5/3/1 BBB — Setup &amp; Training Maxes</t>
  </si>
  <si>
    <t>BARBELL LIFTS — All Weights Auto-Calculate &amp; Round to Nearest 5 lb</t>
  </si>
  <si>
    <t>Lift</t>
  </si>
  <si>
    <t>True 1RM</t>
  </si>
  <si>
    <t>TM (90%)</t>
  </si>
  <si>
    <t>BBB 50%</t>
  </si>
  <si>
    <t>BBB 55%</t>
  </si>
  <si>
    <t>BBB 60%</t>
  </si>
  <si>
    <t>Wk1: 65%</t>
  </si>
  <si>
    <t>Wk1: 75%</t>
  </si>
  <si>
    <t>Wk1: 85%</t>
  </si>
  <si>
    <t>Wk2: 70%</t>
  </si>
  <si>
    <t>Wk2: 80%</t>
  </si>
  <si>
    <t>Wk2: 90%</t>
  </si>
  <si>
    <t>Wk3: 75%</t>
  </si>
  <si>
    <t>Wk3: 85%</t>
  </si>
  <si>
    <t>Wk3: 95%</t>
  </si>
  <si>
    <t>Back Squat</t>
  </si>
  <si>
    <t>Bench Press</t>
  </si>
  <si>
    <t>Deadlift</t>
  </si>
  <si>
    <t>Overhead Press</t>
  </si>
  <si>
    <t>→ Enter your True 1RM in the blue cells. Everything else auto-calculates.</t>
  </si>
  <si>
    <t>PELOTON FTP &amp; CARDIO ZONES</t>
  </si>
  <si>
    <t>Metric</t>
  </si>
  <si>
    <t>Value</t>
  </si>
  <si>
    <t>Zone</t>
  </si>
  <si>
    <t>Watts (low)</t>
  </si>
  <si>
    <t>Watts (high)</t>
  </si>
  <si>
    <t>Description</t>
  </si>
  <si>
    <t>FTP (watts)</t>
  </si>
  <si>
    <t>Zone 2</t>
  </si>
  <si>
    <t>Aerobic base — conversational</t>
  </si>
  <si>
    <t>Max Heart Rate</t>
  </si>
  <si>
    <t>Zone 3</t>
  </si>
  <si>
    <t>Tempo — few words only</t>
  </si>
  <si>
    <t>Zone 2 HR (low)</t>
  </si>
  <si>
    <t>Zone 4</t>
  </si>
  <si>
    <t>Threshold — unsustainable &gt;30 min</t>
  </si>
  <si>
    <t>Zone 2 HR (high)</t>
  </si>
  <si>
    <t>VO2 105%</t>
  </si>
  <si>
    <t>Interval target — Week 1-2</t>
  </si>
  <si>
    <t>VO2 110%</t>
  </si>
  <si>
    <t>Interval target — Week 3-5</t>
  </si>
  <si>
    <t>VO2 115%</t>
  </si>
  <si>
    <t>Interval target — Week 6-7</t>
  </si>
  <si>
    <t>BBB SUPPLEMENTAL LOAD PROGRESSION</t>
  </si>
  <si>
    <t>Cycle Range</t>
  </si>
  <si>
    <t>BBB %</t>
  </si>
  <si>
    <t>Squat BBB</t>
  </si>
  <si>
    <t>Bench BBB</t>
  </si>
  <si>
    <t>Dead BBB</t>
  </si>
  <si>
    <t>OHP BBB</t>
  </si>
  <si>
    <t>Notes</t>
  </si>
  <si>
    <t>Cycles 1–2</t>
  </si>
  <si>
    <t>50%</t>
  </si>
  <si>
    <t>Start here. Should feel manageable.</t>
  </si>
  <si>
    <t>Cycles 3–4</t>
  </si>
  <si>
    <t>55%</t>
  </si>
  <si>
    <t>Harder. Rest periods creep up.</t>
  </si>
  <si>
    <t>Cycles 5–6</t>
  </si>
  <si>
    <t>60%</t>
  </si>
  <si>
    <t>Very challenging. Hold during intensity cardio blocks.</t>
  </si>
  <si>
    <t>12-MONTH ROADMAP</t>
  </si>
  <si>
    <t>Month</t>
  </si>
  <si>
    <t>Cycle</t>
  </si>
  <si>
    <t>Cardio Block</t>
  </si>
  <si>
    <t>BBB Load</t>
  </si>
  <si>
    <t>Squat TM</t>
  </si>
  <si>
    <t>Bench TM</t>
  </si>
  <si>
    <t>Dead TM</t>
  </si>
  <si>
    <t>OHP TM</t>
  </si>
  <si>
    <t>1–2</t>
  </si>
  <si>
    <t>Base A</t>
  </si>
  <si>
    <t>Build habits. Everything moderate.</t>
  </si>
  <si>
    <t>2–3</t>
  </si>
  <si>
    <t>Zone 2 volume building.</t>
  </si>
  <si>
    <t>3–4</t>
  </si>
  <si>
    <t>Intensity A</t>
  </si>
  <si>
    <t>50–55%</t>
  </si>
  <si>
    <t>First VO2 max block.</t>
  </si>
  <si>
    <t>4–5</t>
  </si>
  <si>
    <t>Push interval progression.</t>
  </si>
  <si>
    <t>5–6</t>
  </si>
  <si>
    <t>Base B</t>
  </si>
  <si>
    <t>Consolidate aerobic gains.</t>
  </si>
  <si>
    <t>6–7</t>
  </si>
  <si>
    <t>55–60%</t>
  </si>
  <si>
    <t>BBB load increasing.</t>
  </si>
  <si>
    <t>7–8</t>
  </si>
  <si>
    <t>Intensity B</t>
  </si>
  <si>
    <t>Hold/drop BBB during intervals.</t>
  </si>
  <si>
    <t>8–9</t>
  </si>
  <si>
    <t>Peak interval volume.</t>
  </si>
  <si>
    <t>9–10</t>
  </si>
  <si>
    <t>Base C</t>
  </si>
  <si>
    <t>Push BBB load, low cardio stress.</t>
  </si>
  <si>
    <t>10–11</t>
  </si>
  <si>
    <t>Strongest BBB phase.</t>
  </si>
  <si>
    <t>11–12</t>
  </si>
  <si>
    <t>Intensity C</t>
  </si>
  <si>
    <t>Drop BBB load, push cardio.</t>
  </si>
  <si>
    <t>12+</t>
  </si>
  <si>
    <t>Retest all maxes &amp; FTP.</t>
  </si>
  <si>
    <t>LEGEND:</t>
  </si>
  <si>
    <t>■ Base Block</t>
  </si>
  <si>
    <t>Zone 2 only. Low stress. Push BBB load.</t>
  </si>
  <si>
    <t>■ Intensity Block</t>
  </si>
  <si>
    <t>VO2 max intervals Wednesday. Hold/reduce BBB.</t>
  </si>
  <si>
    <t>PROGRAM CALENDAR — Starting April 6, 2026</t>
  </si>
  <si>
    <t>Week</t>
  </si>
  <si>
    <t>5/3/1 Week</t>
  </si>
  <si>
    <t>MON</t>
  </si>
  <si>
    <t>TUE</t>
  </si>
  <si>
    <t>WED</t>
  </si>
  <si>
    <t>THU</t>
  </si>
  <si>
    <t>FRI</t>
  </si>
  <si>
    <t>SAT</t>
  </si>
  <si>
    <t>SUN</t>
  </si>
  <si>
    <t>Week 1</t>
  </si>
  <si>
    <t>04/06
Squat + BBB</t>
  </si>
  <si>
    <t>04/07
Bench + BBB</t>
  </si>
  <si>
    <t>04/08
Zone 2</t>
  </si>
  <si>
    <t>04/09
Deadlift + BBB</t>
  </si>
  <si>
    <t>04/10
OHP + BBB</t>
  </si>
  <si>
    <t>04/11
Zone 2 Long</t>
  </si>
  <si>
    <t>04/12
Rest</t>
  </si>
  <si>
    <t>Program start</t>
  </si>
  <si>
    <t>Week 2</t>
  </si>
  <si>
    <t>04/13
Squat + BBB</t>
  </si>
  <si>
    <t>04/14
Bench + BBB</t>
  </si>
  <si>
    <t>04/15
Zone 2</t>
  </si>
  <si>
    <t>04/16
Deadlift + BBB</t>
  </si>
  <si>
    <t>04/17
OHP + BBB</t>
  </si>
  <si>
    <t>04/18
Zone 2 Long</t>
  </si>
  <si>
    <t>04/19
Rest</t>
  </si>
  <si>
    <t>Week 3</t>
  </si>
  <si>
    <t>04/20
Squat + BBB</t>
  </si>
  <si>
    <t>04/21
Bench + BBB</t>
  </si>
  <si>
    <t>04/22
Zone 2</t>
  </si>
  <si>
    <t>04/23
Deadlift + BBB</t>
  </si>
  <si>
    <t>04/24
OHP + BBB</t>
  </si>
  <si>
    <t>04/25
Zone 2 Long</t>
  </si>
  <si>
    <t>04/26
Rest</t>
  </si>
  <si>
    <t>Deload</t>
  </si>
  <si>
    <t>—</t>
  </si>
  <si>
    <t>04/27
Squat (deload)</t>
  </si>
  <si>
    <t>04/28
Bench (deload)</t>
  </si>
  <si>
    <t>04/29
Zone 2 (30 min)</t>
  </si>
  <si>
    <t>04/30
Deadlift (deload)</t>
  </si>
  <si>
    <t>05/01
OHP (deload)</t>
  </si>
  <si>
    <t>05/02
Zone 2 (40 min)</t>
  </si>
  <si>
    <t>05/03
Rest</t>
  </si>
  <si>
    <t>Deload. +5 lb upper / +10 lb lower TMs after.</t>
  </si>
  <si>
    <t>05/04
Squat + BBB</t>
  </si>
  <si>
    <t>05/05
Bench + BBB</t>
  </si>
  <si>
    <t>05/06
Zone 2</t>
  </si>
  <si>
    <t>05/07
Deadlift + BBB</t>
  </si>
  <si>
    <t>05/08
OHP + BBB</t>
  </si>
  <si>
    <t>05/09
Zone 2 Long</t>
  </si>
  <si>
    <t>05/10
Rest</t>
  </si>
  <si>
    <t>05/11
Squat + BBB</t>
  </si>
  <si>
    <t>05/12
Bench + BBB</t>
  </si>
  <si>
    <t>05/13
Zone 2</t>
  </si>
  <si>
    <t>05/14
Deadlift + BBB</t>
  </si>
  <si>
    <t>05/15
OHP + BBB</t>
  </si>
  <si>
    <t>05/16
Zone 2 Long</t>
  </si>
  <si>
    <t>05/17
Rest</t>
  </si>
  <si>
    <t>05/18
Squat + BBB</t>
  </si>
  <si>
    <t>05/19
Bench + BBB</t>
  </si>
  <si>
    <t>05/20
Zone 2</t>
  </si>
  <si>
    <t>05/21
Deadlift + BBB</t>
  </si>
  <si>
    <t>05/22
OHP + BBB</t>
  </si>
  <si>
    <t>05/23
Zone 2 Long</t>
  </si>
  <si>
    <t>05/24
Rest</t>
  </si>
  <si>
    <t>05/25
Squat (deload)</t>
  </si>
  <si>
    <t>05/26
Bench (deload)</t>
  </si>
  <si>
    <t>05/27
Zone 2 (30 min)</t>
  </si>
  <si>
    <t>05/28
Deadlift (deload)</t>
  </si>
  <si>
    <t>05/29
OHP (deload)</t>
  </si>
  <si>
    <t>05/30
Zone 2 (40 min)</t>
  </si>
  <si>
    <t>05/31
Rest</t>
  </si>
  <si>
    <t>06/01
Squat + BBB</t>
  </si>
  <si>
    <t>06/02
Bench + BBB</t>
  </si>
  <si>
    <t>06/03
VO2 Max Intervals</t>
  </si>
  <si>
    <t>06/04
Deadlift + BBB</t>
  </si>
  <si>
    <t>06/05
OHP + BBB</t>
  </si>
  <si>
    <t>06/06
Zone 2 Long</t>
  </si>
  <si>
    <t>06/07
Rest</t>
  </si>
  <si>
    <t>06/08
Squat + BBB</t>
  </si>
  <si>
    <t>06/09
Bench + BBB</t>
  </si>
  <si>
    <t>06/10
VO2 Max Intervals</t>
  </si>
  <si>
    <t>06/11
Deadlift + BBB</t>
  </si>
  <si>
    <t>06/12
OHP + BBB</t>
  </si>
  <si>
    <t>06/13
Zone 2 Long</t>
  </si>
  <si>
    <t>06/14
Rest</t>
  </si>
  <si>
    <t>06/15
Squat + BBB</t>
  </si>
  <si>
    <t>06/16
Bench + BBB</t>
  </si>
  <si>
    <t>06/17
VO2 Max Intervals</t>
  </si>
  <si>
    <t>06/18
Deadlift + BBB</t>
  </si>
  <si>
    <t>06/19
OHP + BBB</t>
  </si>
  <si>
    <t>06/20
Zone 2 Long</t>
  </si>
  <si>
    <t>06/21
Rest</t>
  </si>
  <si>
    <t>06/22
Squat (deload)</t>
  </si>
  <si>
    <t>06/23
Bench (deload)</t>
  </si>
  <si>
    <t>06/24
Deload Ride (30 min)</t>
  </si>
  <si>
    <t>06/25
Deadlift (deload)</t>
  </si>
  <si>
    <t>06/26
OHP (deload)</t>
  </si>
  <si>
    <t>06/27
Zone 2 (40 min)</t>
  </si>
  <si>
    <t>06/28
Rest</t>
  </si>
  <si>
    <t>06/29
Squat + BBB</t>
  </si>
  <si>
    <t>06/30
Bench + BBB</t>
  </si>
  <si>
    <t>07/01
VO2 Max Intervals</t>
  </si>
  <si>
    <t>07/02
Deadlift + BBB</t>
  </si>
  <si>
    <t>07/03
OHP + BBB</t>
  </si>
  <si>
    <t>07/04
Zone 2 Long</t>
  </si>
  <si>
    <t>07/05
Rest</t>
  </si>
  <si>
    <t>07/06
Squat + BBB</t>
  </si>
  <si>
    <t>07/07
Bench + BBB</t>
  </si>
  <si>
    <t>07/08
VO2 Max Intervals</t>
  </si>
  <si>
    <t>07/09
Deadlift + BBB</t>
  </si>
  <si>
    <t>07/10
OHP + BBB</t>
  </si>
  <si>
    <t>07/11
Zone 2 Long</t>
  </si>
  <si>
    <t>07/12
Rest</t>
  </si>
  <si>
    <t>07/13
Squat + BBB</t>
  </si>
  <si>
    <t>07/14
Bench + BBB</t>
  </si>
  <si>
    <t>07/15
VO2 Max Intervals</t>
  </si>
  <si>
    <t>07/16
Deadlift + BBB</t>
  </si>
  <si>
    <t>07/17
OHP + BBB</t>
  </si>
  <si>
    <t>07/18
Zone 2 Long</t>
  </si>
  <si>
    <t>07/19
Rest</t>
  </si>
  <si>
    <t>07/20
Squat (deload)</t>
  </si>
  <si>
    <t>07/21
Bench (deload)</t>
  </si>
  <si>
    <t>07/22
Deload Ride (30 min)</t>
  </si>
  <si>
    <t>07/23
Deadlift (deload)</t>
  </si>
  <si>
    <t>07/24
OHP (deload)</t>
  </si>
  <si>
    <t>07/25
Zone 2 (40 min)</t>
  </si>
  <si>
    <t>07/26
Rest</t>
  </si>
  <si>
    <t>07/27
Squat + BBB</t>
  </si>
  <si>
    <t>07/28
Bench + BBB</t>
  </si>
  <si>
    <t>07/29
Zone 2</t>
  </si>
  <si>
    <t>07/30
Deadlift + BBB</t>
  </si>
  <si>
    <t>07/31
OHP + BBB</t>
  </si>
  <si>
    <t>08/01
Zone 2 Long</t>
  </si>
  <si>
    <t>08/02
Rest</t>
  </si>
  <si>
    <t>08/03
Squat + BBB</t>
  </si>
  <si>
    <t>08/04
Bench + BBB</t>
  </si>
  <si>
    <t>08/05
Zone 2</t>
  </si>
  <si>
    <t>08/06
Deadlift + BBB</t>
  </si>
  <si>
    <t>08/07
OHP + BBB</t>
  </si>
  <si>
    <t>08/08
Zone 2 Long</t>
  </si>
  <si>
    <t>08/09
Rest</t>
  </si>
  <si>
    <t>08/10
Squat + BBB</t>
  </si>
  <si>
    <t>08/11
Bench + BBB</t>
  </si>
  <si>
    <t>08/12
Zone 2</t>
  </si>
  <si>
    <t>08/13
Deadlift + BBB</t>
  </si>
  <si>
    <t>08/14
OHP + BBB</t>
  </si>
  <si>
    <t>08/15
Zone 2 Long</t>
  </si>
  <si>
    <t>08/16
Rest</t>
  </si>
  <si>
    <t>08/17
Squat (deload)</t>
  </si>
  <si>
    <t>08/18
Bench (deload)</t>
  </si>
  <si>
    <t>08/19
Zone 2 (30 min)</t>
  </si>
  <si>
    <t>08/20
Deadlift (deload)</t>
  </si>
  <si>
    <t>08/21
OHP (deload)</t>
  </si>
  <si>
    <t>08/22
Zone 2 (40 min)</t>
  </si>
  <si>
    <t>08/23
Rest</t>
  </si>
  <si>
    <t>08/24
Squat + BBB</t>
  </si>
  <si>
    <t>08/25
Bench + BBB</t>
  </si>
  <si>
    <t>08/26
Zone 2</t>
  </si>
  <si>
    <t>08/27
Deadlift + BBB</t>
  </si>
  <si>
    <t>08/28
OHP + BBB</t>
  </si>
  <si>
    <t>08/29
Zone 2 Long</t>
  </si>
  <si>
    <t>08/30
Rest</t>
  </si>
  <si>
    <t>08/31
Squat + BBB</t>
  </si>
  <si>
    <t>09/01
Bench + BBB</t>
  </si>
  <si>
    <t>09/02
Zone 2</t>
  </si>
  <si>
    <t>09/03
Deadlift + BBB</t>
  </si>
  <si>
    <t>09/04
OHP + BBB</t>
  </si>
  <si>
    <t>09/05
Zone 2 Long</t>
  </si>
  <si>
    <t>09/06
Rest</t>
  </si>
  <si>
    <t>09/07
Squat + BBB</t>
  </si>
  <si>
    <t>09/08
Bench + BBB</t>
  </si>
  <si>
    <t>09/09
Zone 2</t>
  </si>
  <si>
    <t>09/10
Deadlift + BBB</t>
  </si>
  <si>
    <t>09/11
OHP + BBB</t>
  </si>
  <si>
    <t>09/12
Zone 2 Long</t>
  </si>
  <si>
    <t>09/13
Rest</t>
  </si>
  <si>
    <t>09/14
Squat (deload)</t>
  </si>
  <si>
    <t>09/15
Bench (deload)</t>
  </si>
  <si>
    <t>09/16
Zone 2 (30 min)</t>
  </si>
  <si>
    <t>09/17
Deadlift (deload)</t>
  </si>
  <si>
    <t>09/18
OHP (deload)</t>
  </si>
  <si>
    <t>09/19
Zone 2 (40 min)</t>
  </si>
  <si>
    <t>09/20
Rest</t>
  </si>
  <si>
    <t>09/21
Squat + BBB</t>
  </si>
  <si>
    <t>09/22
Bench + BBB</t>
  </si>
  <si>
    <t>09/23
VO2 Max Intervals</t>
  </si>
  <si>
    <t>09/24
Deadlift + BBB</t>
  </si>
  <si>
    <t>09/25
OHP + BBB</t>
  </si>
  <si>
    <t>09/26
Zone 2 Long</t>
  </si>
  <si>
    <t>09/27
Rest</t>
  </si>
  <si>
    <t>09/28
Squat + BBB</t>
  </si>
  <si>
    <t>09/29
Bench + BBB</t>
  </si>
  <si>
    <t>09/30
VO2 Max Intervals</t>
  </si>
  <si>
    <t>10/01
Deadlift + BBB</t>
  </si>
  <si>
    <t>10/02
OHP + BBB</t>
  </si>
  <si>
    <t>10/03
Zone 2 Long</t>
  </si>
  <si>
    <t>10/04
Rest</t>
  </si>
  <si>
    <t>10/05
Squat + BBB</t>
  </si>
  <si>
    <t>10/06
Bench + BBB</t>
  </si>
  <si>
    <t>10/07
VO2 Max Intervals</t>
  </si>
  <si>
    <t>10/08
Deadlift + BBB</t>
  </si>
  <si>
    <t>10/09
OHP + BBB</t>
  </si>
  <si>
    <t>10/10
Zone 2 Long</t>
  </si>
  <si>
    <t>10/11
Rest</t>
  </si>
  <si>
    <t>10/12
Squat (deload)</t>
  </si>
  <si>
    <t>10/13
Bench (deload)</t>
  </si>
  <si>
    <t>10/14
Deload Ride (30 min)</t>
  </si>
  <si>
    <t>10/15
Deadlift (deload)</t>
  </si>
  <si>
    <t>10/16
OHP (deload)</t>
  </si>
  <si>
    <t>10/17
Zone 2 (40 min)</t>
  </si>
  <si>
    <t>10/18
Rest</t>
  </si>
  <si>
    <t>10/19
Squat + BBB</t>
  </si>
  <si>
    <t>10/20
Bench + BBB</t>
  </si>
  <si>
    <t>10/21
VO2 Max Intervals</t>
  </si>
  <si>
    <t>10/22
Deadlift + BBB</t>
  </si>
  <si>
    <t>10/23
OHP + BBB</t>
  </si>
  <si>
    <t>10/24
Zone 2 Long</t>
  </si>
  <si>
    <t>10/25
Rest</t>
  </si>
  <si>
    <t>10/26
Squat + BBB</t>
  </si>
  <si>
    <t>10/27
Bench + BBB</t>
  </si>
  <si>
    <t>10/28
VO2 Max Intervals</t>
  </si>
  <si>
    <t>10/29
Deadlift + BBB</t>
  </si>
  <si>
    <t>10/30
OHP + BBB</t>
  </si>
  <si>
    <t>10/31
Zone 2 Long</t>
  </si>
  <si>
    <t>11/01
Rest</t>
  </si>
  <si>
    <t>11/02
Squat + BBB</t>
  </si>
  <si>
    <t>11/03
Bench + BBB</t>
  </si>
  <si>
    <t>11/04
VO2 Max Intervals</t>
  </si>
  <si>
    <t>11/05
Deadlift + BBB</t>
  </si>
  <si>
    <t>11/06
OHP + BBB</t>
  </si>
  <si>
    <t>11/07
Zone 2 Long</t>
  </si>
  <si>
    <t>11/08
Rest</t>
  </si>
  <si>
    <t>11/09
Squat (deload)</t>
  </si>
  <si>
    <t>11/10
Bench (deload)</t>
  </si>
  <si>
    <t>11/11
Deload Ride (30 min)</t>
  </si>
  <si>
    <t>11/12
Deadlift (deload)</t>
  </si>
  <si>
    <t>11/13
OHP (deload)</t>
  </si>
  <si>
    <t>11/14
Zone 2 (40 min)</t>
  </si>
  <si>
    <t>11/15
Rest</t>
  </si>
  <si>
    <t>11/16
Squat + BBB</t>
  </si>
  <si>
    <t>11/17
Bench + BBB</t>
  </si>
  <si>
    <t>11/18
Zone 2</t>
  </si>
  <si>
    <t>11/19
Deadlift + BBB</t>
  </si>
  <si>
    <t>11/20
OHP + BBB</t>
  </si>
  <si>
    <t>11/21
Zone 2 Long</t>
  </si>
  <si>
    <t>11/22
Rest</t>
  </si>
  <si>
    <t>11/23
Squat + BBB</t>
  </si>
  <si>
    <t>11/24
Bench + BBB</t>
  </si>
  <si>
    <t>11/25
Zone 2</t>
  </si>
  <si>
    <t>11/26
Deadlift + BBB</t>
  </si>
  <si>
    <t>11/27
OHP + BBB</t>
  </si>
  <si>
    <t>11/28
Zone 2 Long</t>
  </si>
  <si>
    <t>11/29
Rest</t>
  </si>
  <si>
    <t>11/30
Squat + BBB</t>
  </si>
  <si>
    <t>12/01
Bench + BBB</t>
  </si>
  <si>
    <t>12/02
Zone 2</t>
  </si>
  <si>
    <t>12/03
Deadlift + BBB</t>
  </si>
  <si>
    <t>12/04
OHP + BBB</t>
  </si>
  <si>
    <t>12/05
Zone 2 Long</t>
  </si>
  <si>
    <t>12/06
Rest</t>
  </si>
  <si>
    <t>12/07
Squat (deload)</t>
  </si>
  <si>
    <t>12/08
Bench (deload)</t>
  </si>
  <si>
    <t>12/09
Zone 2 (30 min)</t>
  </si>
  <si>
    <t>12/10
Deadlift (deload)</t>
  </si>
  <si>
    <t>12/11
OHP (deload)</t>
  </si>
  <si>
    <t>12/12
Zone 2 (40 min)</t>
  </si>
  <si>
    <t>12/13
Rest</t>
  </si>
  <si>
    <t>12/14
Squat + BBB</t>
  </si>
  <si>
    <t>12/15
Bench + BBB</t>
  </si>
  <si>
    <t>12/16
Zone 2</t>
  </si>
  <si>
    <t>12/17
Deadlift + BBB</t>
  </si>
  <si>
    <t>12/18
OHP + BBB</t>
  </si>
  <si>
    <t>12/19
Zone 2 Long</t>
  </si>
  <si>
    <t>12/20
Rest</t>
  </si>
  <si>
    <t>12/21
Squat + BBB</t>
  </si>
  <si>
    <t>12/22
Bench + BBB</t>
  </si>
  <si>
    <t>12/23
Zone 2</t>
  </si>
  <si>
    <t>12/24
Deadlift + BBB</t>
  </si>
  <si>
    <t>12/25
OHP + BBB</t>
  </si>
  <si>
    <t>12/26
Zone 2 Long</t>
  </si>
  <si>
    <t>12/27
Rest</t>
  </si>
  <si>
    <t>12/28
Squat + BBB</t>
  </si>
  <si>
    <t>12/29
Bench + BBB</t>
  </si>
  <si>
    <t>12/30
Zone 2</t>
  </si>
  <si>
    <t>12/31
Deadlift + BBB</t>
  </si>
  <si>
    <t>01/01
OHP + BBB</t>
  </si>
  <si>
    <t>01/02
Zone 2 Long</t>
  </si>
  <si>
    <t>01/03
Rest</t>
  </si>
  <si>
    <t>01/04
Squat (deload)</t>
  </si>
  <si>
    <t>01/05
Bench (deload)</t>
  </si>
  <si>
    <t>01/06
Zone 2 (30 min)</t>
  </si>
  <si>
    <t>01/07
Deadlift (deload)</t>
  </si>
  <si>
    <t>01/08
OHP (deload)</t>
  </si>
  <si>
    <t>01/09
Zone 2 (40 min)</t>
  </si>
  <si>
    <t>01/10
Rest</t>
  </si>
  <si>
    <t>01/11
Squat + BBB</t>
  </si>
  <si>
    <t>01/12
Bench + BBB</t>
  </si>
  <si>
    <t>01/13
VO2 Max Intervals</t>
  </si>
  <si>
    <t>01/14
Deadlift + BBB</t>
  </si>
  <si>
    <t>01/15
OHP + BBB</t>
  </si>
  <si>
    <t>01/16
Zone 2 Long</t>
  </si>
  <si>
    <t>01/17
Rest</t>
  </si>
  <si>
    <t>01/18
Squat + BBB</t>
  </si>
  <si>
    <t>01/19
Bench + BBB</t>
  </si>
  <si>
    <t>01/20
VO2 Max Intervals</t>
  </si>
  <si>
    <t>01/21
Deadlift + BBB</t>
  </si>
  <si>
    <t>01/22
OHP + BBB</t>
  </si>
  <si>
    <t>01/23
Zone 2 Long</t>
  </si>
  <si>
    <t>01/24
Rest</t>
  </si>
  <si>
    <t>01/25
Squat + BBB</t>
  </si>
  <si>
    <t>01/26
Bench + BBB</t>
  </si>
  <si>
    <t>01/27
VO2 Max Intervals</t>
  </si>
  <si>
    <t>01/28
Deadlift + BBB</t>
  </si>
  <si>
    <t>01/29
OHP + BBB</t>
  </si>
  <si>
    <t>01/30
Zone 2 Long</t>
  </si>
  <si>
    <t>01/31
Rest</t>
  </si>
  <si>
    <t>02/01
Squat (deload)</t>
  </si>
  <si>
    <t>02/02
Bench (deload)</t>
  </si>
  <si>
    <t>02/03
Deload Ride (30 min)</t>
  </si>
  <si>
    <t>02/04
Deadlift (deload)</t>
  </si>
  <si>
    <t>02/05
OHP (deload)</t>
  </si>
  <si>
    <t>02/06
Zone 2 (40 min)</t>
  </si>
  <si>
    <t>02/07
Rest</t>
  </si>
  <si>
    <t>02/08
Squat + BBB</t>
  </si>
  <si>
    <t>02/09
Bench + BBB</t>
  </si>
  <si>
    <t>02/10
VO2 Max Intervals</t>
  </si>
  <si>
    <t>02/11
Deadlift + BBB</t>
  </si>
  <si>
    <t>02/12
OHP + BBB</t>
  </si>
  <si>
    <t>02/13
Zone 2 Long</t>
  </si>
  <si>
    <t>02/14
Rest</t>
  </si>
  <si>
    <t>02/15
Squat + BBB</t>
  </si>
  <si>
    <t>02/16
Bench + BBB</t>
  </si>
  <si>
    <t>02/17
VO2 Max Intervals</t>
  </si>
  <si>
    <t>02/18
Deadlift + BBB</t>
  </si>
  <si>
    <t>02/19
OHP + BBB</t>
  </si>
  <si>
    <t>02/20
Zone 2 Long</t>
  </si>
  <si>
    <t>02/21
Rest</t>
  </si>
  <si>
    <t>02/22
Squat + BBB</t>
  </si>
  <si>
    <t>02/23
Bench + BBB</t>
  </si>
  <si>
    <t>02/24
VO2 Max Intervals</t>
  </si>
  <si>
    <t>02/25
Deadlift + BBB</t>
  </si>
  <si>
    <t>02/26
OHP + BBB</t>
  </si>
  <si>
    <t>02/27
Zone 2 Long</t>
  </si>
  <si>
    <t>02/28
Rest</t>
  </si>
  <si>
    <t>03/01
Squat (deload)</t>
  </si>
  <si>
    <t>03/02
Bench (deload)</t>
  </si>
  <si>
    <t>03/03
Deload Ride (30 min)</t>
  </si>
  <si>
    <t>03/04
Deadlift (deload)</t>
  </si>
  <si>
    <t>03/05
OHP (deload)</t>
  </si>
  <si>
    <t>03/06
Zone 2 (40 min)</t>
  </si>
  <si>
    <t>03/07
Rest</t>
  </si>
  <si>
    <t>Base A (Yr 2)</t>
  </si>
  <si>
    <t>03/08
Squat + BBB</t>
  </si>
  <si>
    <t>03/09
Bench + BBB</t>
  </si>
  <si>
    <t>03/10
Zone 2</t>
  </si>
  <si>
    <t>03/11
Deadlift + BBB</t>
  </si>
  <si>
    <t>03/12
OHP + BBB</t>
  </si>
  <si>
    <t>03/13
Zone 2 Long</t>
  </si>
  <si>
    <t>03/14
Rest</t>
  </si>
  <si>
    <t>03/15
Squat + BBB</t>
  </si>
  <si>
    <t>03/16
Bench + BBB</t>
  </si>
  <si>
    <t>03/17
Zone 2</t>
  </si>
  <si>
    <t>03/18
Deadlift + BBB</t>
  </si>
  <si>
    <t>03/19
OHP + BBB</t>
  </si>
  <si>
    <t>03/20
Zone 2 Long</t>
  </si>
  <si>
    <t>03/21
Rest</t>
  </si>
  <si>
    <t>03/22
Squat + BBB</t>
  </si>
  <si>
    <t>03/23
Bench + BBB</t>
  </si>
  <si>
    <t>03/24
Zone 2</t>
  </si>
  <si>
    <t>03/25
Deadlift + BBB</t>
  </si>
  <si>
    <t>03/26
OHP + BBB</t>
  </si>
  <si>
    <t>03/27
Zone 2 Long</t>
  </si>
  <si>
    <t>03/28
Rest</t>
  </si>
  <si>
    <t>03/29
Squat (deload)</t>
  </si>
  <si>
    <t>03/30
Bench (deload)</t>
  </si>
  <si>
    <t>03/31
Zone 2 (30 min)</t>
  </si>
  <si>
    <t>04/01
Deadlift (deload)</t>
  </si>
  <si>
    <t>04/02
OHP (deload)</t>
  </si>
  <si>
    <t>04/03
Zone 2 (40 min)</t>
  </si>
  <si>
    <t>04/04
Rest</t>
  </si>
  <si>
    <t>Zone 2 cardio only. Push BBB load.</t>
  </si>
  <si>
    <t>VO2 max intervals on Wednesday. Hold/reduce BBB load if needed.</t>
  </si>
  <si>
    <t>■ Deload Week</t>
  </si>
  <si>
    <t>Light lifting. No BBB. Bump TMs after completing deload.</t>
  </si>
  <si>
    <t>WEEKLY WORKOUT LOG</t>
  </si>
  <si>
    <t>Current Cycle #:</t>
  </si>
  <si>
    <t>Current Week:</t>
  </si>
  <si>
    <t>Date:</t>
  </si>
  <si>
    <t>Wk1: 65/75/85%+  |  Wk2: 70/80/90%+  |  Wk3: 75/85/95%+  |  Deload: 40/50/60%</t>
  </si>
  <si>
    <t>MONDAY — SQUAT</t>
  </si>
  <si>
    <t>Exercise</t>
  </si>
  <si>
    <t>Set</t>
  </si>
  <si>
    <t>Target Reps</t>
  </si>
  <si>
    <t>Prescribed Wt</t>
  </si>
  <si>
    <t>Weight Used</t>
  </si>
  <si>
    <t>Reps Done</t>
  </si>
  <si>
    <t>RPE</t>
  </si>
  <si>
    <t>AMRAP?</t>
  </si>
  <si>
    <t>Warm-up</t>
  </si>
  <si>
    <t>1</t>
  </si>
  <si>
    <t>2</t>
  </si>
  <si>
    <t>3</t>
  </si>
  <si>
    <t>BBB Back Squat</t>
  </si>
  <si>
    <t>1/5</t>
  </si>
  <si>
    <t>2/5</t>
  </si>
  <si>
    <t>3/5</t>
  </si>
  <si>
    <t>4/5</t>
  </si>
  <si>
    <t>5/5</t>
  </si>
  <si>
    <t>ACCESSORIES</t>
  </si>
  <si>
    <t>Chin-up</t>
  </si>
  <si>
    <t>5 × 10</t>
  </si>
  <si>
    <t>DB Lateral Raise</t>
  </si>
  <si>
    <t>3 × 15</t>
  </si>
  <si>
    <t>Hanging Leg Raise</t>
  </si>
  <si>
    <t>TUESDAY — BENCH PRESS</t>
  </si>
  <si>
    <t>BBB Bench Press</t>
  </si>
  <si>
    <t>Single-arm DB row</t>
  </si>
  <si>
    <t>Incline DB Bench Press</t>
  </si>
  <si>
    <t>Prone Y Raise</t>
  </si>
  <si>
    <t>THURSDAY — DEADLIFT</t>
  </si>
  <si>
    <t>BBB RDL</t>
  </si>
  <si>
    <t>Pull-up</t>
  </si>
  <si>
    <t>DB Bicep Curl</t>
  </si>
  <si>
    <t>3 × 12</t>
  </si>
  <si>
    <t>DB Rear Delt Fly</t>
  </si>
  <si>
    <t>Pallof Press (band)</t>
  </si>
  <si>
    <t>15/side</t>
  </si>
  <si>
    <t>3 × 15/side</t>
  </si>
  <si>
    <t>FRIDAY — OVERHEAD PRESS</t>
  </si>
  <si>
    <t>OHP</t>
  </si>
  <si>
    <t>BBB OHP</t>
  </si>
  <si>
    <t>BB Row (overhand, wide)</t>
  </si>
  <si>
    <t>Close-grip BB Bench</t>
  </si>
  <si>
    <t>Single-leg RDL</t>
  </si>
  <si>
    <t>3 × 10/leg</t>
  </si>
  <si>
    <t>Hip Thrust</t>
  </si>
  <si>
    <t>3 × 10</t>
  </si>
  <si>
    <t>SESSION NOTES:</t>
  </si>
  <si>
    <t>CARDIO LOG</t>
  </si>
  <si>
    <t>WEDNESDAY — VO2 MAX / ZONE 2</t>
  </si>
  <si>
    <t>Date</t>
  </si>
  <si>
    <t>Block</t>
  </si>
  <si>
    <t>Session Type</t>
  </si>
  <si>
    <t>Duration</t>
  </si>
  <si>
    <t>Intervals</t>
  </si>
  <si>
    <t>Avg Power</t>
  </si>
  <si>
    <t>Avg HR</t>
  </si>
  <si>
    <t>Difficulty</t>
  </si>
  <si>
    <t>Base</t>
  </si>
  <si>
    <t>N/A</t>
  </si>
  <si>
    <t>Deload Ride</t>
  </si>
  <si>
    <t>Intensity</t>
  </si>
  <si>
    <t>VO2 Max Intervals</t>
  </si>
  <si>
    <t>SATURDAY — AEROBIC DEVELOPMENT</t>
  </si>
  <si>
    <t>Type</t>
  </si>
  <si>
    <t>Distance</t>
  </si>
  <si>
    <t>RHR Today</t>
  </si>
  <si>
    <t>Zone 2 Long</t>
  </si>
  <si>
    <t>Deload Easy</t>
  </si>
  <si>
    <t>PROGRESS DASHBOARD</t>
  </si>
  <si>
    <t>AMRAP RESULTS &amp; ESTIMATED 1RM — Log Week 3 Top Set Each Cycle</t>
  </si>
  <si>
    <t>Squat Wt</t>
  </si>
  <si>
    <t>Squat Reps</t>
  </si>
  <si>
    <t>Squat e1RM</t>
  </si>
  <si>
    <t>Bench Wt</t>
  </si>
  <si>
    <t>Bench Reps</t>
  </si>
  <si>
    <t>Bench e1RM</t>
  </si>
  <si>
    <t>Dead Wt</t>
  </si>
  <si>
    <t>Dead Reps</t>
  </si>
  <si>
    <t>Dead e1RM</t>
  </si>
  <si>
    <t>OHP AMRAP RESULTS</t>
  </si>
  <si>
    <t>FTP TEST RESULTS</t>
  </si>
  <si>
    <t>OHP Wt</t>
  </si>
  <si>
    <t>OHP Reps</t>
  </si>
  <si>
    <t>OHP e1RM</t>
  </si>
  <si>
    <t>Test #</t>
  </si>
  <si>
    <t>FTP (W)</t>
  </si>
  <si>
    <t>Change (W)</t>
  </si>
  <si>
    <t>Before Block</t>
  </si>
  <si>
    <t>AMRAP HEALTH CHECK (Week 3 top set at 95% TM):</t>
  </si>
  <si>
    <t>5+ reps = TM is perfect. Keep progressing.</t>
  </si>
  <si>
    <t>3–4 reps = TM is slightly high. Watch next cycle.</t>
  </si>
  <si>
    <t>1–2 reps = TM is too high. Reduce by 10% and rebuild.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</si>
</sst>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\+#,##0;\-#,##0;0"/>
  </numFmts>
  <fonts count="12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rgb="FFFFFFFF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2.0"/>
      <color rgb="FF6EAAF5"/>
      <name val="Arial"/>
    </font>
    <font>
      <sz val="10.0"/>
      <color rgb="FF888899"/>
      <name val="Arial"/>
    </font>
    <font>
      <sz val="11.0"/>
      <color rgb="FF66BB6A"/>
      <name val="Arial"/>
    </font>
    <font>
      <sz val="11.0"/>
      <color rgb="FFFF9800"/>
      <name val="Arial"/>
    </font>
    <font>
      <sz val="10.0"/>
      <color rgb="FFEF5350"/>
      <name val="Arial"/>
    </font>
    <font>
      <sz val="11.0"/>
      <color rgb="FFEF535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6FA5"/>
        <bgColor rgb="FF4A6FA5"/>
      </patternFill>
    </fill>
    <fill>
      <patternFill patternType="solid">
        <fgColor rgb="FF1B1B2F"/>
        <bgColor rgb="FF1B1B2F"/>
      </patternFill>
    </fill>
    <fill>
      <patternFill patternType="solid">
        <fgColor rgb="FF2D2D44"/>
        <bgColor rgb="FF2D2D44"/>
      </patternFill>
    </fill>
    <fill>
      <patternFill patternType="solid">
        <fgColor rgb="FF232340"/>
        <bgColor rgb="FF232340"/>
      </patternFill>
    </fill>
    <fill>
      <patternFill patternType="solid">
        <fgColor rgb="FF3A3A5C"/>
        <bgColor rgb="FF3A3A5C"/>
      </patternFill>
    </fill>
    <fill>
      <patternFill patternType="solid">
        <fgColor rgb="FF2A2A48"/>
        <bgColor rgb="FF2A2A48"/>
      </patternFill>
    </fill>
    <fill>
      <patternFill patternType="solid">
        <fgColor rgb="FF1B3A2D"/>
        <bgColor rgb="FF1B3A2D"/>
      </patternFill>
    </fill>
    <fill>
      <patternFill patternType="solid">
        <fgColor rgb="FF3A1B1B"/>
        <bgColor rgb="FF3A1B1B"/>
      </patternFill>
    </fill>
    <fill>
      <patternFill patternType="solid">
        <fgColor rgb="FF2D2D1B"/>
        <bgColor rgb="FF2D2D1B"/>
      </patternFill>
    </fill>
  </fills>
  <borders count="11">
    <border/>
    <border>
      <left style="thin">
        <color rgb="FF444466"/>
      </left>
      <top style="thin">
        <color rgb="FF444466"/>
      </top>
      <bottom style="thin">
        <color rgb="FF444466"/>
      </bottom>
    </border>
    <border>
      <top style="thin">
        <color rgb="FF444466"/>
      </top>
      <bottom style="thin">
        <color rgb="FF444466"/>
      </bottom>
    </border>
    <border>
      <right style="thin">
        <color rgb="FF444466"/>
      </right>
      <top style="thin">
        <color rgb="FF444466"/>
      </top>
      <bottom style="thin">
        <color rgb="FF444466"/>
      </bottom>
    </border>
    <border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</border>
    <border>
      <left style="thin">
        <color rgb="FF444466"/>
      </left>
      <top style="thin">
        <color rgb="FF444466"/>
      </top>
    </border>
    <border>
      <top style="thin">
        <color rgb="FF444466"/>
      </top>
    </border>
    <border>
      <right style="thin">
        <color rgb="FF444466"/>
      </right>
      <top style="thin">
        <color rgb="FF444466"/>
      </top>
    </border>
    <border>
      <left style="thin">
        <color rgb="FF444466"/>
      </left>
      <bottom style="thin">
        <color rgb="FF444466"/>
      </bottom>
    </border>
    <border>
      <bottom style="thin">
        <color rgb="FF444466"/>
      </bottom>
    </border>
    <border>
      <right style="thin">
        <color rgb="FF444466"/>
      </right>
      <bottom style="thin">
        <color rgb="FF444466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3" xfId="0" applyAlignment="1" applyBorder="1" applyFill="1" applyFont="1" applyNumberFormat="1">
      <alignment horizontal="center" readingOrder="0" shrinkToFit="0" vertical="center" wrapText="1"/>
    </xf>
    <xf borderId="4" fillId="5" fontId="3" numFmtId="3" xfId="0" applyAlignment="1" applyBorder="1" applyFont="1" applyNumberForma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7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6" fontId="6" numFmtId="3" xfId="0" applyAlignment="1" applyBorder="1" applyFont="1" applyNumberForma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6" fontId="6" numFmtId="164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3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7" numFmtId="3" xfId="0" applyAlignment="1" applyBorder="1" applyFont="1" applyNumberForma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left" readingOrder="0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6" fontId="6" numFmtId="164" xfId="0" applyAlignment="1" applyBorder="1" applyFont="1" applyNumberFormat="1">
      <alignment horizontal="center" shrinkToFit="0" vertical="center" wrapText="1"/>
    </xf>
    <xf borderId="4" fillId="5" fontId="8" numFmtId="3" xfId="0" applyAlignment="1" applyBorder="1" applyFont="1" applyNumberFormat="1">
      <alignment horizontal="center" shrinkToFit="0" vertical="center" wrapText="1"/>
    </xf>
    <xf borderId="4" fillId="7" fontId="8" numFmtId="3" xfId="0" applyAlignment="1" applyBorder="1" applyFont="1" applyNumberFormat="1">
      <alignment horizontal="center" shrinkToFit="0" vertical="center" wrapText="1"/>
    </xf>
    <xf borderId="4" fillId="7" fontId="8" numFmtId="165" xfId="0" applyAlignment="1" applyBorder="1" applyFont="1" applyNumberFormat="1">
      <alignment horizontal="center" shrinkToFit="0" vertical="center" wrapText="1"/>
    </xf>
    <xf borderId="4" fillId="5" fontId="8" numFmtId="165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FA5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6.0"/>
    <col customWidth="1" min="4" max="15" width="14.0"/>
    <col customWidth="1" min="16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5.0" customHeight="1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</row>
    <row r="5">
      <c r="A5" s="7" t="s">
        <v>17</v>
      </c>
      <c r="B5" s="8">
        <v>300.0</v>
      </c>
      <c r="C5" s="9">
        <f t="shared" ref="C5:C8" si="1">ROUND(B5*0.9,0)</f>
        <v>270</v>
      </c>
      <c r="D5" s="9">
        <f t="shared" ref="D5:D8" si="2">IF(C5="","",ROUND(C5*0.5/5,0)*5)</f>
        <v>135</v>
      </c>
      <c r="E5" s="9">
        <f t="shared" ref="E5:E8" si="3">IF(C5="","",ROUND(C5*0.55/5,0)*5)</f>
        <v>150</v>
      </c>
      <c r="F5" s="9">
        <f t="shared" ref="F5:F8" si="4">IF(C5="","",ROUND(C5*0.6/5,0)*5)</f>
        <v>160</v>
      </c>
      <c r="G5" s="9">
        <f t="shared" ref="G5:G8" si="5">IF(C5="","",ROUND(C5*0.65/5,0)*5)</f>
        <v>175</v>
      </c>
      <c r="H5" s="9">
        <f t="shared" ref="H5:H8" si="6">IF(C5="","",ROUND(C5*0.75/5,0)*5)</f>
        <v>205</v>
      </c>
      <c r="I5" s="9">
        <f t="shared" ref="I5:I8" si="7">IF(C5="","",ROUND(C5*0.85/5,0)*5)</f>
        <v>230</v>
      </c>
      <c r="J5" s="9">
        <f t="shared" ref="J5:J8" si="8">IF(C5="","",ROUND(C5*0.7/5,0)*5)</f>
        <v>190</v>
      </c>
      <c r="K5" s="9">
        <f t="shared" ref="K5:K8" si="9">IF(C5="","",ROUND(C5*0.8/5,0)*5)</f>
        <v>215</v>
      </c>
      <c r="L5" s="9">
        <f t="shared" ref="L5:L8" si="10">IF(C5="","",ROUND(C5*0.9/5,0)*5)</f>
        <v>245</v>
      </c>
      <c r="M5" s="9">
        <f t="shared" ref="M5:M8" si="11">IF(C5="","",ROUND(C5*0.75/5,0)*5)</f>
        <v>205</v>
      </c>
      <c r="N5" s="9">
        <f t="shared" ref="N5:N8" si="12">IF(C5="","",ROUND(C5*0.85/5,0)*5)</f>
        <v>230</v>
      </c>
      <c r="O5" s="9">
        <f t="shared" ref="O5:O8" si="13">IF(C5="","",ROUND(C5*0.95/5,0)*5)</f>
        <v>255</v>
      </c>
    </row>
    <row r="6">
      <c r="A6" s="10" t="s">
        <v>18</v>
      </c>
      <c r="B6" s="8">
        <v>255.0</v>
      </c>
      <c r="C6" s="11">
        <f t="shared" si="1"/>
        <v>230</v>
      </c>
      <c r="D6" s="11">
        <f t="shared" si="2"/>
        <v>115</v>
      </c>
      <c r="E6" s="11">
        <f t="shared" si="3"/>
        <v>125</v>
      </c>
      <c r="F6" s="11">
        <f t="shared" si="4"/>
        <v>140</v>
      </c>
      <c r="G6" s="11">
        <f t="shared" si="5"/>
        <v>150</v>
      </c>
      <c r="H6" s="11">
        <f t="shared" si="6"/>
        <v>175</v>
      </c>
      <c r="I6" s="11">
        <f t="shared" si="7"/>
        <v>195</v>
      </c>
      <c r="J6" s="11">
        <f t="shared" si="8"/>
        <v>160</v>
      </c>
      <c r="K6" s="11">
        <f t="shared" si="9"/>
        <v>185</v>
      </c>
      <c r="L6" s="11">
        <f t="shared" si="10"/>
        <v>205</v>
      </c>
      <c r="M6" s="11">
        <f t="shared" si="11"/>
        <v>175</v>
      </c>
      <c r="N6" s="11">
        <f t="shared" si="12"/>
        <v>195</v>
      </c>
      <c r="O6" s="11">
        <f t="shared" si="13"/>
        <v>220</v>
      </c>
    </row>
    <row r="7">
      <c r="A7" s="7" t="s">
        <v>19</v>
      </c>
      <c r="B7" s="8">
        <v>360.0</v>
      </c>
      <c r="C7" s="9">
        <f t="shared" si="1"/>
        <v>324</v>
      </c>
      <c r="D7" s="9">
        <f t="shared" si="2"/>
        <v>160</v>
      </c>
      <c r="E7" s="9">
        <f t="shared" si="3"/>
        <v>180</v>
      </c>
      <c r="F7" s="9">
        <f t="shared" si="4"/>
        <v>195</v>
      </c>
      <c r="G7" s="9">
        <f t="shared" si="5"/>
        <v>210</v>
      </c>
      <c r="H7" s="9">
        <f t="shared" si="6"/>
        <v>245</v>
      </c>
      <c r="I7" s="9">
        <f t="shared" si="7"/>
        <v>275</v>
      </c>
      <c r="J7" s="9">
        <f t="shared" si="8"/>
        <v>225</v>
      </c>
      <c r="K7" s="9">
        <f t="shared" si="9"/>
        <v>260</v>
      </c>
      <c r="L7" s="9">
        <f t="shared" si="10"/>
        <v>290</v>
      </c>
      <c r="M7" s="9">
        <f t="shared" si="11"/>
        <v>245</v>
      </c>
      <c r="N7" s="9">
        <f t="shared" si="12"/>
        <v>275</v>
      </c>
      <c r="O7" s="9">
        <f t="shared" si="13"/>
        <v>310</v>
      </c>
    </row>
    <row r="8">
      <c r="A8" s="10" t="s">
        <v>20</v>
      </c>
      <c r="B8" s="8">
        <v>145.0</v>
      </c>
      <c r="C8" s="11">
        <f t="shared" si="1"/>
        <v>131</v>
      </c>
      <c r="D8" s="11">
        <f t="shared" si="2"/>
        <v>65</v>
      </c>
      <c r="E8" s="11">
        <f t="shared" si="3"/>
        <v>70</v>
      </c>
      <c r="F8" s="11">
        <f t="shared" si="4"/>
        <v>80</v>
      </c>
      <c r="G8" s="11">
        <f t="shared" si="5"/>
        <v>85</v>
      </c>
      <c r="H8" s="11">
        <f t="shared" si="6"/>
        <v>100</v>
      </c>
      <c r="I8" s="11">
        <f t="shared" si="7"/>
        <v>110</v>
      </c>
      <c r="J8" s="11">
        <f t="shared" si="8"/>
        <v>90</v>
      </c>
      <c r="K8" s="11">
        <f t="shared" si="9"/>
        <v>105</v>
      </c>
      <c r="L8" s="11">
        <f t="shared" si="10"/>
        <v>120</v>
      </c>
      <c r="M8" s="11">
        <f t="shared" si="11"/>
        <v>100</v>
      </c>
      <c r="N8" s="11">
        <f t="shared" si="12"/>
        <v>110</v>
      </c>
      <c r="O8" s="11">
        <f t="shared" si="13"/>
        <v>125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0" customHeight="1">
      <c r="A10" s="12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0" customHeight="1">
      <c r="A12" s="5" t="s">
        <v>22</v>
      </c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</row>
    <row r="13">
      <c r="A13" s="6" t="s">
        <v>23</v>
      </c>
      <c r="B13" s="6" t="s">
        <v>24</v>
      </c>
      <c r="C13" s="6"/>
      <c r="D13" s="6" t="s">
        <v>25</v>
      </c>
      <c r="E13" s="6" t="s">
        <v>26</v>
      </c>
      <c r="F13" s="6" t="s">
        <v>27</v>
      </c>
      <c r="G13" s="6" t="s">
        <v>28</v>
      </c>
      <c r="H13" s="4"/>
      <c r="I13" s="4"/>
      <c r="J13" s="4"/>
      <c r="K13" s="4"/>
      <c r="L13" s="4"/>
      <c r="M13" s="4"/>
      <c r="N13" s="4"/>
      <c r="O13" s="4"/>
    </row>
    <row r="14">
      <c r="A14" s="7" t="s">
        <v>29</v>
      </c>
      <c r="B14" s="8">
        <v>236.0</v>
      </c>
      <c r="C14" s="4"/>
      <c r="D14" s="7" t="s">
        <v>30</v>
      </c>
      <c r="E14" s="9">
        <f>IF(B14="","",ROUND(B14*0.55,0))</f>
        <v>130</v>
      </c>
      <c r="F14" s="9">
        <f>IF(B14="","",ROUND(B14*0.75,0))</f>
        <v>177</v>
      </c>
      <c r="G14" s="13" t="s">
        <v>31</v>
      </c>
      <c r="H14" s="4"/>
      <c r="I14" s="4"/>
      <c r="J14" s="4"/>
      <c r="K14" s="4"/>
      <c r="L14" s="4"/>
      <c r="M14" s="4"/>
      <c r="N14" s="4"/>
      <c r="O14" s="4"/>
    </row>
    <row r="15">
      <c r="A15" s="10" t="s">
        <v>32</v>
      </c>
      <c r="B15" s="8">
        <v>184.0</v>
      </c>
      <c r="C15" s="4"/>
      <c r="D15" s="10" t="s">
        <v>33</v>
      </c>
      <c r="E15" s="11">
        <f>IF(B14="","",ROUND(B14*0.76,0))</f>
        <v>179</v>
      </c>
      <c r="F15" s="11">
        <f>IF(B14="","",ROUND(B14*0.9,0))</f>
        <v>212</v>
      </c>
      <c r="G15" s="14" t="s">
        <v>34</v>
      </c>
      <c r="H15" s="4"/>
      <c r="I15" s="4"/>
      <c r="J15" s="4"/>
      <c r="K15" s="4"/>
      <c r="L15" s="4"/>
      <c r="M15" s="4"/>
      <c r="N15" s="4"/>
      <c r="O15" s="4"/>
    </row>
    <row r="16">
      <c r="A16" s="15" t="s">
        <v>35</v>
      </c>
      <c r="B16" s="11">
        <f>IF(B15="","",ROUND(B15*0.6,0))</f>
        <v>110</v>
      </c>
      <c r="C16" s="4"/>
      <c r="D16" s="7" t="s">
        <v>36</v>
      </c>
      <c r="E16" s="9">
        <f>IF(B14="","",ROUND(B14*0.91,0))</f>
        <v>215</v>
      </c>
      <c r="F16" s="9">
        <f>IF(B14="","",ROUND(B14*1.05,0))</f>
        <v>248</v>
      </c>
      <c r="G16" s="13" t="s">
        <v>37</v>
      </c>
      <c r="H16" s="4"/>
      <c r="I16" s="4"/>
      <c r="J16" s="4"/>
      <c r="K16" s="4"/>
      <c r="L16" s="4"/>
      <c r="M16" s="4"/>
      <c r="N16" s="4"/>
      <c r="O16" s="4"/>
    </row>
    <row r="17">
      <c r="A17" s="16" t="s">
        <v>38</v>
      </c>
      <c r="B17" s="9">
        <f>IF(B15="","",ROUND(B15*0.7,0))</f>
        <v>129</v>
      </c>
      <c r="C17" s="4"/>
      <c r="D17" s="10" t="s">
        <v>39</v>
      </c>
      <c r="E17" s="11">
        <f>IF(B14="","",ROUND(B14*1.05,0))</f>
        <v>248</v>
      </c>
      <c r="F17" s="11">
        <f>IF(B14="","",ROUND(B14*1.1,0))</f>
        <v>260</v>
      </c>
      <c r="G17" s="14" t="s">
        <v>40</v>
      </c>
      <c r="H17" s="4"/>
      <c r="I17" s="4"/>
      <c r="J17" s="4"/>
      <c r="K17" s="4"/>
      <c r="L17" s="4"/>
      <c r="M17" s="4"/>
      <c r="N17" s="4"/>
      <c r="O17" s="4"/>
    </row>
    <row r="18">
      <c r="A18" s="4"/>
      <c r="B18" s="4"/>
      <c r="C18" s="4"/>
      <c r="D18" s="7" t="s">
        <v>41</v>
      </c>
      <c r="E18" s="9">
        <f>IF(B14="","",ROUND(B14*1.1,0))</f>
        <v>260</v>
      </c>
      <c r="F18" s="9">
        <f>IF(B14="","",ROUND(B14*1.15,0))</f>
        <v>271</v>
      </c>
      <c r="G18" s="13" t="s">
        <v>42</v>
      </c>
      <c r="H18" s="4"/>
      <c r="I18" s="4"/>
      <c r="J18" s="4"/>
      <c r="K18" s="4"/>
      <c r="L18" s="4"/>
      <c r="M18" s="4"/>
      <c r="N18" s="4"/>
      <c r="O18" s="4"/>
    </row>
    <row r="19">
      <c r="A19" s="4"/>
      <c r="B19" s="4"/>
      <c r="C19" s="4"/>
      <c r="D19" s="10" t="s">
        <v>43</v>
      </c>
      <c r="E19" s="11">
        <f>IF(B14="","",ROUND(B14*1.15,0))</f>
        <v>271</v>
      </c>
      <c r="F19" s="11">
        <f>IF(B14="","",ROUND(B14*1.2,0))</f>
        <v>283</v>
      </c>
      <c r="G19" s="14" t="s">
        <v>44</v>
      </c>
      <c r="H19" s="4"/>
      <c r="I19" s="4"/>
      <c r="J19" s="4"/>
      <c r="K19" s="4"/>
      <c r="L19" s="4"/>
      <c r="M19" s="4"/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0" customHeight="1">
      <c r="A21" s="5" t="s">
        <v>45</v>
      </c>
      <c r="B21" s="2"/>
      <c r="C21" s="2"/>
      <c r="D21" s="2"/>
      <c r="E21" s="2"/>
      <c r="F21" s="2"/>
      <c r="G21" s="3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6" t="s">
        <v>46</v>
      </c>
      <c r="B22" s="6" t="s">
        <v>47</v>
      </c>
      <c r="C22" s="6" t="s">
        <v>48</v>
      </c>
      <c r="D22" s="6" t="s">
        <v>49</v>
      </c>
      <c r="E22" s="6" t="s">
        <v>50</v>
      </c>
      <c r="F22" s="6" t="s">
        <v>51</v>
      </c>
      <c r="G22" s="6" t="s">
        <v>52</v>
      </c>
      <c r="H22" s="4"/>
      <c r="I22" s="4"/>
      <c r="J22" s="4"/>
      <c r="K22" s="4"/>
      <c r="L22" s="4"/>
      <c r="M22" s="4"/>
      <c r="N22" s="4"/>
      <c r="O22" s="4"/>
    </row>
    <row r="23" ht="15.75" customHeight="1">
      <c r="A23" s="16" t="s">
        <v>53</v>
      </c>
      <c r="B23" s="17" t="s">
        <v>54</v>
      </c>
      <c r="C23" s="9">
        <f>IF(C5="","",ROUND(C5*0.5/5,0)*5)</f>
        <v>135</v>
      </c>
      <c r="D23" s="9">
        <f>IF(C6="","",ROUND(C6*0.5/5,0)*5)</f>
        <v>115</v>
      </c>
      <c r="E23" s="9">
        <f>IF(C7="","",ROUND(C7*0.5/5,0)*5)</f>
        <v>160</v>
      </c>
      <c r="F23" s="9">
        <f>IF(C8="","",ROUND(C8*0.5/5,0)*5)</f>
        <v>65</v>
      </c>
      <c r="G23" s="13" t="s">
        <v>55</v>
      </c>
      <c r="H23" s="4"/>
      <c r="I23" s="4"/>
      <c r="J23" s="4"/>
      <c r="K23" s="4"/>
      <c r="L23" s="4"/>
      <c r="M23" s="4"/>
      <c r="N23" s="4"/>
      <c r="O23" s="4"/>
    </row>
    <row r="24" ht="15.75" customHeight="1">
      <c r="A24" s="15" t="s">
        <v>56</v>
      </c>
      <c r="B24" s="18" t="s">
        <v>57</v>
      </c>
      <c r="C24" s="11">
        <f>IF(C5="","",ROUND(C5*0.55/5,0)*5)</f>
        <v>150</v>
      </c>
      <c r="D24" s="11">
        <f>IF(C6="","",ROUND(C6*0.55/5,0)*5)</f>
        <v>125</v>
      </c>
      <c r="E24" s="11">
        <f>IF(C7="","",ROUND(C7*0.55/5,0)*5)</f>
        <v>180</v>
      </c>
      <c r="F24" s="11">
        <f>IF(C8="","",ROUND(C8*0.55/5,0)*5)</f>
        <v>70</v>
      </c>
      <c r="G24" s="14" t="s">
        <v>58</v>
      </c>
      <c r="H24" s="4"/>
      <c r="I24" s="4"/>
      <c r="J24" s="4"/>
      <c r="K24" s="4"/>
      <c r="L24" s="4"/>
      <c r="M24" s="4"/>
      <c r="N24" s="4"/>
      <c r="O24" s="4"/>
    </row>
    <row r="25" ht="15.75" customHeight="1">
      <c r="A25" s="16" t="s">
        <v>59</v>
      </c>
      <c r="B25" s="17" t="s">
        <v>60</v>
      </c>
      <c r="C25" s="9">
        <f>IF(C5="","",ROUND(C5*0.6/5,0)*5)</f>
        <v>160</v>
      </c>
      <c r="D25" s="9">
        <f>IF(C6="","",ROUND(C6*0.6/5,0)*5)</f>
        <v>140</v>
      </c>
      <c r="E25" s="9">
        <f>IF(C7="","",ROUND(C7*0.6/5,0)*5)</f>
        <v>195</v>
      </c>
      <c r="F25" s="9">
        <f>IF(C8="","",ROUND(C8*0.6/5,0)*5)</f>
        <v>80</v>
      </c>
      <c r="G25" s="13" t="s">
        <v>61</v>
      </c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A3:O3"/>
    <mergeCell ref="A10:O10"/>
    <mergeCell ref="A12:G12"/>
    <mergeCell ref="A21:G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/>
  </sheetViews>
  <sheetFormatPr customHeight="1" defaultColWidth="14.43" defaultRowHeight="15.0"/>
  <cols>
    <col customWidth="1" min="1" max="1" width="11.86"/>
    <col customWidth="1" min="2" max="2" width="14.0"/>
    <col customWidth="1" min="3" max="3" width="16.0"/>
    <col customWidth="1" min="4" max="8" width="14.0"/>
    <col customWidth="1" min="9" max="9" width="30.0"/>
    <col customWidth="1" min="10" max="26" width="8.71"/>
  </cols>
  <sheetData>
    <row r="1" ht="19.5" customHeight="1">
      <c r="A1" s="1" t="s">
        <v>62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 t="s">
        <v>70</v>
      </c>
      <c r="I3" s="6" t="s">
        <v>52</v>
      </c>
    </row>
    <row r="4">
      <c r="A4" s="19">
        <v>1.0</v>
      </c>
      <c r="B4" s="20" t="s">
        <v>71</v>
      </c>
      <c r="C4" s="21" t="s">
        <v>72</v>
      </c>
      <c r="D4" s="20" t="s">
        <v>54</v>
      </c>
      <c r="E4" s="22"/>
      <c r="F4" s="22"/>
      <c r="G4" s="22"/>
      <c r="H4" s="22"/>
      <c r="I4" s="23" t="s">
        <v>73</v>
      </c>
    </row>
    <row r="5">
      <c r="A5" s="19">
        <v>2.0</v>
      </c>
      <c r="B5" s="20" t="s">
        <v>74</v>
      </c>
      <c r="C5" s="21" t="s">
        <v>72</v>
      </c>
      <c r="D5" s="20" t="s">
        <v>54</v>
      </c>
      <c r="E5" s="22"/>
      <c r="F5" s="22"/>
      <c r="G5" s="22"/>
      <c r="H5" s="22"/>
      <c r="I5" s="23" t="s">
        <v>75</v>
      </c>
    </row>
    <row r="6">
      <c r="A6" s="24">
        <v>3.0</v>
      </c>
      <c r="B6" s="25" t="s">
        <v>76</v>
      </c>
      <c r="C6" s="26" t="s">
        <v>77</v>
      </c>
      <c r="D6" s="25" t="s">
        <v>78</v>
      </c>
      <c r="E6" s="22"/>
      <c r="F6" s="22"/>
      <c r="G6" s="22"/>
      <c r="H6" s="22"/>
      <c r="I6" s="27" t="s">
        <v>79</v>
      </c>
    </row>
    <row r="7">
      <c r="A7" s="24">
        <v>4.0</v>
      </c>
      <c r="B7" s="25" t="s">
        <v>80</v>
      </c>
      <c r="C7" s="26" t="s">
        <v>77</v>
      </c>
      <c r="D7" s="25" t="s">
        <v>57</v>
      </c>
      <c r="E7" s="22"/>
      <c r="F7" s="22"/>
      <c r="G7" s="22"/>
      <c r="H7" s="22"/>
      <c r="I7" s="27" t="s">
        <v>81</v>
      </c>
    </row>
    <row r="8">
      <c r="A8" s="19">
        <v>5.0</v>
      </c>
      <c r="B8" s="20" t="s">
        <v>82</v>
      </c>
      <c r="C8" s="21" t="s">
        <v>83</v>
      </c>
      <c r="D8" s="20" t="s">
        <v>57</v>
      </c>
      <c r="E8" s="22"/>
      <c r="F8" s="22"/>
      <c r="G8" s="22"/>
      <c r="H8" s="22"/>
      <c r="I8" s="23" t="s">
        <v>84</v>
      </c>
    </row>
    <row r="9">
      <c r="A9" s="19">
        <v>6.0</v>
      </c>
      <c r="B9" s="20" t="s">
        <v>85</v>
      </c>
      <c r="C9" s="21" t="s">
        <v>83</v>
      </c>
      <c r="D9" s="20" t="s">
        <v>86</v>
      </c>
      <c r="E9" s="22"/>
      <c r="F9" s="22"/>
      <c r="G9" s="22"/>
      <c r="H9" s="22"/>
      <c r="I9" s="23" t="s">
        <v>87</v>
      </c>
    </row>
    <row r="10">
      <c r="A10" s="24">
        <v>7.0</v>
      </c>
      <c r="B10" s="25" t="s">
        <v>88</v>
      </c>
      <c r="C10" s="26" t="s">
        <v>89</v>
      </c>
      <c r="D10" s="25" t="s">
        <v>57</v>
      </c>
      <c r="E10" s="22"/>
      <c r="F10" s="22"/>
      <c r="G10" s="22"/>
      <c r="H10" s="22"/>
      <c r="I10" s="27" t="s">
        <v>90</v>
      </c>
    </row>
    <row r="11">
      <c r="A11" s="24">
        <v>8.0</v>
      </c>
      <c r="B11" s="25" t="s">
        <v>91</v>
      </c>
      <c r="C11" s="26" t="s">
        <v>89</v>
      </c>
      <c r="D11" s="25" t="s">
        <v>57</v>
      </c>
      <c r="E11" s="22"/>
      <c r="F11" s="22"/>
      <c r="G11" s="22"/>
      <c r="H11" s="22"/>
      <c r="I11" s="27" t="s">
        <v>92</v>
      </c>
    </row>
    <row r="12">
      <c r="A12" s="19">
        <v>9.0</v>
      </c>
      <c r="B12" s="20" t="s">
        <v>93</v>
      </c>
      <c r="C12" s="21" t="s">
        <v>94</v>
      </c>
      <c r="D12" s="20" t="s">
        <v>60</v>
      </c>
      <c r="E12" s="22"/>
      <c r="F12" s="22"/>
      <c r="G12" s="22"/>
      <c r="H12" s="22"/>
      <c r="I12" s="23" t="s">
        <v>95</v>
      </c>
    </row>
    <row r="13">
      <c r="A13" s="19">
        <v>10.0</v>
      </c>
      <c r="B13" s="20" t="s">
        <v>96</v>
      </c>
      <c r="C13" s="21" t="s">
        <v>94</v>
      </c>
      <c r="D13" s="20" t="s">
        <v>60</v>
      </c>
      <c r="E13" s="22"/>
      <c r="F13" s="22"/>
      <c r="G13" s="22"/>
      <c r="H13" s="22"/>
      <c r="I13" s="23" t="s">
        <v>97</v>
      </c>
    </row>
    <row r="14">
      <c r="A14" s="24">
        <v>11.0</v>
      </c>
      <c r="B14" s="25" t="s">
        <v>98</v>
      </c>
      <c r="C14" s="26" t="s">
        <v>99</v>
      </c>
      <c r="D14" s="25" t="s">
        <v>57</v>
      </c>
      <c r="E14" s="22"/>
      <c r="F14" s="22"/>
      <c r="G14" s="22"/>
      <c r="H14" s="22"/>
      <c r="I14" s="27" t="s">
        <v>100</v>
      </c>
    </row>
    <row r="15">
      <c r="A15" s="24">
        <v>12.0</v>
      </c>
      <c r="B15" s="25" t="s">
        <v>101</v>
      </c>
      <c r="C15" s="26" t="s">
        <v>99</v>
      </c>
      <c r="D15" s="25" t="s">
        <v>57</v>
      </c>
      <c r="E15" s="22"/>
      <c r="F15" s="22"/>
      <c r="G15" s="22"/>
      <c r="H15" s="22"/>
      <c r="I15" s="27" t="s">
        <v>102</v>
      </c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28" t="s">
        <v>103</v>
      </c>
      <c r="B17" s="4"/>
      <c r="C17" s="4"/>
      <c r="D17" s="4"/>
      <c r="E17" s="4"/>
      <c r="F17" s="4"/>
      <c r="G17" s="4"/>
      <c r="H17" s="4"/>
      <c r="I17" s="4"/>
    </row>
    <row r="18" ht="26.25" customHeight="1">
      <c r="A18" s="29" t="s">
        <v>104</v>
      </c>
      <c r="B18" s="4"/>
      <c r="C18" s="12" t="s">
        <v>105</v>
      </c>
      <c r="D18" s="2"/>
      <c r="E18" s="2"/>
      <c r="F18" s="2"/>
      <c r="G18" s="2"/>
      <c r="H18" s="2"/>
      <c r="I18" s="3"/>
    </row>
    <row r="19" ht="39.0" customHeight="1">
      <c r="A19" s="30" t="s">
        <v>106</v>
      </c>
      <c r="B19" s="4"/>
      <c r="C19" s="12" t="s">
        <v>107</v>
      </c>
      <c r="D19" s="2"/>
      <c r="E19" s="2"/>
      <c r="F19" s="2"/>
      <c r="G19" s="2"/>
      <c r="H19" s="2"/>
      <c r="I19" s="3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C18:I18"/>
    <mergeCell ref="C19:I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1FA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43"/>
    <col customWidth="1" min="2" max="2" width="8.0"/>
    <col customWidth="1" min="3" max="3" width="14.0"/>
    <col customWidth="1" min="4" max="4" width="8.0"/>
    <col customWidth="1" min="5" max="5" width="10.0"/>
    <col customWidth="1" min="6" max="6" width="16.0"/>
    <col customWidth="1" min="7" max="12" width="18.0"/>
    <col customWidth="1" min="13" max="13" width="31.0"/>
    <col customWidth="1" min="14" max="26" width="8.71"/>
  </cols>
  <sheetData>
    <row r="1" ht="19.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6" t="s">
        <v>109</v>
      </c>
      <c r="B3" s="6" t="s">
        <v>64</v>
      </c>
      <c r="C3" s="6" t="s">
        <v>110</v>
      </c>
      <c r="D3" s="6" t="s">
        <v>47</v>
      </c>
      <c r="E3" s="6" t="s">
        <v>65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52</v>
      </c>
    </row>
    <row r="4" ht="31.5" customHeight="1">
      <c r="A4" s="19">
        <v>1.0</v>
      </c>
      <c r="B4" s="20">
        <v>1.0</v>
      </c>
      <c r="C4" s="20" t="s">
        <v>118</v>
      </c>
      <c r="D4" s="20" t="s">
        <v>54</v>
      </c>
      <c r="E4" s="21" t="s">
        <v>72</v>
      </c>
      <c r="F4" s="20" t="s">
        <v>119</v>
      </c>
      <c r="G4" s="20" t="s">
        <v>120</v>
      </c>
      <c r="H4" s="21" t="s">
        <v>121</v>
      </c>
      <c r="I4" s="20" t="s">
        <v>122</v>
      </c>
      <c r="J4" s="20" t="s">
        <v>123</v>
      </c>
      <c r="K4" s="21" t="s">
        <v>124</v>
      </c>
      <c r="L4" s="31" t="s">
        <v>125</v>
      </c>
      <c r="M4" s="23" t="s">
        <v>126</v>
      </c>
    </row>
    <row r="5" ht="31.5" customHeight="1">
      <c r="A5" s="19">
        <v>2.0</v>
      </c>
      <c r="B5" s="20">
        <v>1.0</v>
      </c>
      <c r="C5" s="20" t="s">
        <v>127</v>
      </c>
      <c r="D5" s="20" t="s">
        <v>54</v>
      </c>
      <c r="E5" s="21" t="s">
        <v>72</v>
      </c>
      <c r="F5" s="20" t="s">
        <v>128</v>
      </c>
      <c r="G5" s="20" t="s">
        <v>129</v>
      </c>
      <c r="H5" s="21" t="s">
        <v>130</v>
      </c>
      <c r="I5" s="20" t="s">
        <v>131</v>
      </c>
      <c r="J5" s="20" t="s">
        <v>132</v>
      </c>
      <c r="K5" s="21" t="s">
        <v>133</v>
      </c>
      <c r="L5" s="31" t="s">
        <v>134</v>
      </c>
      <c r="M5" s="23"/>
    </row>
    <row r="6" ht="31.5" customHeight="1">
      <c r="A6" s="19">
        <v>3.0</v>
      </c>
      <c r="B6" s="20">
        <v>1.0</v>
      </c>
      <c r="C6" s="20" t="s">
        <v>135</v>
      </c>
      <c r="D6" s="20" t="s">
        <v>54</v>
      </c>
      <c r="E6" s="21" t="s">
        <v>72</v>
      </c>
      <c r="F6" s="20" t="s">
        <v>136</v>
      </c>
      <c r="G6" s="20" t="s">
        <v>137</v>
      </c>
      <c r="H6" s="21" t="s">
        <v>138</v>
      </c>
      <c r="I6" s="20" t="s">
        <v>139</v>
      </c>
      <c r="J6" s="20" t="s">
        <v>140</v>
      </c>
      <c r="K6" s="21" t="s">
        <v>141</v>
      </c>
      <c r="L6" s="31" t="s">
        <v>142</v>
      </c>
      <c r="M6" s="23"/>
    </row>
    <row r="7" ht="31.5" customHeight="1">
      <c r="A7" s="32">
        <v>4.0</v>
      </c>
      <c r="B7" s="33">
        <v>1.0</v>
      </c>
      <c r="C7" s="34" t="s">
        <v>143</v>
      </c>
      <c r="D7" s="33" t="s">
        <v>144</v>
      </c>
      <c r="E7" s="35" t="s">
        <v>72</v>
      </c>
      <c r="F7" s="34" t="s">
        <v>145</v>
      </c>
      <c r="G7" s="34" t="s">
        <v>146</v>
      </c>
      <c r="H7" s="35" t="s">
        <v>147</v>
      </c>
      <c r="I7" s="34" t="s">
        <v>148</v>
      </c>
      <c r="J7" s="34" t="s">
        <v>149</v>
      </c>
      <c r="K7" s="35" t="s">
        <v>150</v>
      </c>
      <c r="L7" s="36" t="s">
        <v>151</v>
      </c>
      <c r="M7" s="37" t="s">
        <v>152</v>
      </c>
    </row>
    <row r="8" ht="31.5" customHeight="1">
      <c r="A8" s="19">
        <v>5.0</v>
      </c>
      <c r="B8" s="20">
        <v>2.0</v>
      </c>
      <c r="C8" s="20" t="s">
        <v>118</v>
      </c>
      <c r="D8" s="20" t="s">
        <v>54</v>
      </c>
      <c r="E8" s="21" t="s">
        <v>72</v>
      </c>
      <c r="F8" s="20" t="s">
        <v>153</v>
      </c>
      <c r="G8" s="20" t="s">
        <v>154</v>
      </c>
      <c r="H8" s="21" t="s">
        <v>155</v>
      </c>
      <c r="I8" s="20" t="s">
        <v>156</v>
      </c>
      <c r="J8" s="20" t="s">
        <v>157</v>
      </c>
      <c r="K8" s="21" t="s">
        <v>158</v>
      </c>
      <c r="L8" s="31" t="s">
        <v>159</v>
      </c>
      <c r="M8" s="23"/>
    </row>
    <row r="9" ht="31.5" customHeight="1">
      <c r="A9" s="19">
        <v>6.0</v>
      </c>
      <c r="B9" s="20">
        <v>2.0</v>
      </c>
      <c r="C9" s="20" t="s">
        <v>127</v>
      </c>
      <c r="D9" s="20" t="s">
        <v>54</v>
      </c>
      <c r="E9" s="21" t="s">
        <v>72</v>
      </c>
      <c r="F9" s="20" t="s">
        <v>160</v>
      </c>
      <c r="G9" s="20" t="s">
        <v>161</v>
      </c>
      <c r="H9" s="21" t="s">
        <v>162</v>
      </c>
      <c r="I9" s="20" t="s">
        <v>163</v>
      </c>
      <c r="J9" s="20" t="s">
        <v>164</v>
      </c>
      <c r="K9" s="21" t="s">
        <v>165</v>
      </c>
      <c r="L9" s="31" t="s">
        <v>166</v>
      </c>
      <c r="M9" s="23"/>
    </row>
    <row r="10" ht="31.5" customHeight="1">
      <c r="A10" s="19">
        <v>7.0</v>
      </c>
      <c r="B10" s="20">
        <v>2.0</v>
      </c>
      <c r="C10" s="20" t="s">
        <v>135</v>
      </c>
      <c r="D10" s="20" t="s">
        <v>54</v>
      </c>
      <c r="E10" s="21" t="s">
        <v>72</v>
      </c>
      <c r="F10" s="20" t="s">
        <v>167</v>
      </c>
      <c r="G10" s="20" t="s">
        <v>168</v>
      </c>
      <c r="H10" s="21" t="s">
        <v>169</v>
      </c>
      <c r="I10" s="20" t="s">
        <v>170</v>
      </c>
      <c r="J10" s="20" t="s">
        <v>171</v>
      </c>
      <c r="K10" s="21" t="s">
        <v>172</v>
      </c>
      <c r="L10" s="31" t="s">
        <v>173</v>
      </c>
      <c r="M10" s="23"/>
    </row>
    <row r="11" ht="31.5" customHeight="1">
      <c r="A11" s="32">
        <v>8.0</v>
      </c>
      <c r="B11" s="33">
        <v>2.0</v>
      </c>
      <c r="C11" s="34" t="s">
        <v>143</v>
      </c>
      <c r="D11" s="33" t="s">
        <v>144</v>
      </c>
      <c r="E11" s="35" t="s">
        <v>72</v>
      </c>
      <c r="F11" s="34" t="s">
        <v>174</v>
      </c>
      <c r="G11" s="34" t="s">
        <v>175</v>
      </c>
      <c r="H11" s="35" t="s">
        <v>176</v>
      </c>
      <c r="I11" s="34" t="s">
        <v>177</v>
      </c>
      <c r="J11" s="34" t="s">
        <v>178</v>
      </c>
      <c r="K11" s="35" t="s">
        <v>179</v>
      </c>
      <c r="L11" s="36" t="s">
        <v>180</v>
      </c>
      <c r="M11" s="37" t="s">
        <v>152</v>
      </c>
    </row>
    <row r="12" ht="31.5" customHeight="1">
      <c r="A12" s="24">
        <v>9.0</v>
      </c>
      <c r="B12" s="25">
        <v>3.0</v>
      </c>
      <c r="C12" s="25" t="s">
        <v>118</v>
      </c>
      <c r="D12" s="25" t="s">
        <v>57</v>
      </c>
      <c r="E12" s="26" t="s">
        <v>77</v>
      </c>
      <c r="F12" s="25" t="s">
        <v>181</v>
      </c>
      <c r="G12" s="25" t="s">
        <v>182</v>
      </c>
      <c r="H12" s="38" t="s">
        <v>183</v>
      </c>
      <c r="I12" s="25" t="s">
        <v>184</v>
      </c>
      <c r="J12" s="25" t="s">
        <v>185</v>
      </c>
      <c r="K12" s="39" t="s">
        <v>186</v>
      </c>
      <c r="L12" s="40" t="s">
        <v>187</v>
      </c>
      <c r="M12" s="27"/>
    </row>
    <row r="13" ht="31.5" customHeight="1">
      <c r="A13" s="24">
        <v>10.0</v>
      </c>
      <c r="B13" s="25">
        <v>3.0</v>
      </c>
      <c r="C13" s="25" t="s">
        <v>127</v>
      </c>
      <c r="D13" s="25" t="s">
        <v>57</v>
      </c>
      <c r="E13" s="26" t="s">
        <v>77</v>
      </c>
      <c r="F13" s="25" t="s">
        <v>188</v>
      </c>
      <c r="G13" s="25" t="s">
        <v>189</v>
      </c>
      <c r="H13" s="38" t="s">
        <v>190</v>
      </c>
      <c r="I13" s="25" t="s">
        <v>191</v>
      </c>
      <c r="J13" s="25" t="s">
        <v>192</v>
      </c>
      <c r="K13" s="39" t="s">
        <v>193</v>
      </c>
      <c r="L13" s="40" t="s">
        <v>194</v>
      </c>
      <c r="M13" s="27"/>
    </row>
    <row r="14" ht="31.5" customHeight="1">
      <c r="A14" s="24">
        <v>11.0</v>
      </c>
      <c r="B14" s="25">
        <v>3.0</v>
      </c>
      <c r="C14" s="25" t="s">
        <v>135</v>
      </c>
      <c r="D14" s="25" t="s">
        <v>57</v>
      </c>
      <c r="E14" s="26" t="s">
        <v>77</v>
      </c>
      <c r="F14" s="25" t="s">
        <v>195</v>
      </c>
      <c r="G14" s="25" t="s">
        <v>196</v>
      </c>
      <c r="H14" s="38" t="s">
        <v>197</v>
      </c>
      <c r="I14" s="25" t="s">
        <v>198</v>
      </c>
      <c r="J14" s="25" t="s">
        <v>199</v>
      </c>
      <c r="K14" s="39" t="s">
        <v>200</v>
      </c>
      <c r="L14" s="40" t="s">
        <v>201</v>
      </c>
      <c r="M14" s="27"/>
    </row>
    <row r="15" ht="31.5" customHeight="1">
      <c r="A15" s="32">
        <v>12.0</v>
      </c>
      <c r="B15" s="33">
        <v>3.0</v>
      </c>
      <c r="C15" s="34" t="s">
        <v>143</v>
      </c>
      <c r="D15" s="33" t="s">
        <v>144</v>
      </c>
      <c r="E15" s="34" t="s">
        <v>77</v>
      </c>
      <c r="F15" s="34" t="s">
        <v>202</v>
      </c>
      <c r="G15" s="34" t="s">
        <v>203</v>
      </c>
      <c r="H15" s="34" t="s">
        <v>204</v>
      </c>
      <c r="I15" s="34" t="s">
        <v>205</v>
      </c>
      <c r="J15" s="34" t="s">
        <v>206</v>
      </c>
      <c r="K15" s="35" t="s">
        <v>207</v>
      </c>
      <c r="L15" s="36" t="s">
        <v>208</v>
      </c>
      <c r="M15" s="37" t="s">
        <v>152</v>
      </c>
    </row>
    <row r="16" ht="31.5" customHeight="1">
      <c r="A16" s="24">
        <v>13.0</v>
      </c>
      <c r="B16" s="25">
        <v>4.0</v>
      </c>
      <c r="C16" s="25" t="s">
        <v>118</v>
      </c>
      <c r="D16" s="25" t="s">
        <v>57</v>
      </c>
      <c r="E16" s="26" t="s">
        <v>77</v>
      </c>
      <c r="F16" s="25" t="s">
        <v>209</v>
      </c>
      <c r="G16" s="25" t="s">
        <v>210</v>
      </c>
      <c r="H16" s="38" t="s">
        <v>211</v>
      </c>
      <c r="I16" s="25" t="s">
        <v>212</v>
      </c>
      <c r="J16" s="25" t="s">
        <v>213</v>
      </c>
      <c r="K16" s="39" t="s">
        <v>214</v>
      </c>
      <c r="L16" s="40" t="s">
        <v>215</v>
      </c>
      <c r="M16" s="27"/>
    </row>
    <row r="17" ht="31.5" customHeight="1">
      <c r="A17" s="24">
        <v>14.0</v>
      </c>
      <c r="B17" s="25">
        <v>4.0</v>
      </c>
      <c r="C17" s="25" t="s">
        <v>127</v>
      </c>
      <c r="D17" s="25" t="s">
        <v>57</v>
      </c>
      <c r="E17" s="26" t="s">
        <v>77</v>
      </c>
      <c r="F17" s="25" t="s">
        <v>216</v>
      </c>
      <c r="G17" s="25" t="s">
        <v>217</v>
      </c>
      <c r="H17" s="38" t="s">
        <v>218</v>
      </c>
      <c r="I17" s="25" t="s">
        <v>219</v>
      </c>
      <c r="J17" s="25" t="s">
        <v>220</v>
      </c>
      <c r="K17" s="39" t="s">
        <v>221</v>
      </c>
      <c r="L17" s="40" t="s">
        <v>222</v>
      </c>
      <c r="M17" s="27"/>
    </row>
    <row r="18" ht="31.5" customHeight="1">
      <c r="A18" s="24">
        <v>15.0</v>
      </c>
      <c r="B18" s="25">
        <v>4.0</v>
      </c>
      <c r="C18" s="25" t="s">
        <v>135</v>
      </c>
      <c r="D18" s="25" t="s">
        <v>57</v>
      </c>
      <c r="E18" s="26" t="s">
        <v>77</v>
      </c>
      <c r="F18" s="25" t="s">
        <v>223</v>
      </c>
      <c r="G18" s="25" t="s">
        <v>224</v>
      </c>
      <c r="H18" s="38" t="s">
        <v>225</v>
      </c>
      <c r="I18" s="25" t="s">
        <v>226</v>
      </c>
      <c r="J18" s="25" t="s">
        <v>227</v>
      </c>
      <c r="K18" s="39" t="s">
        <v>228</v>
      </c>
      <c r="L18" s="40" t="s">
        <v>229</v>
      </c>
      <c r="M18" s="27"/>
    </row>
    <row r="19" ht="31.5" customHeight="1">
      <c r="A19" s="32">
        <v>16.0</v>
      </c>
      <c r="B19" s="33">
        <v>4.0</v>
      </c>
      <c r="C19" s="34" t="s">
        <v>143</v>
      </c>
      <c r="D19" s="33" t="s">
        <v>144</v>
      </c>
      <c r="E19" s="34" t="s">
        <v>77</v>
      </c>
      <c r="F19" s="34" t="s">
        <v>230</v>
      </c>
      <c r="G19" s="34" t="s">
        <v>231</v>
      </c>
      <c r="H19" s="34" t="s">
        <v>232</v>
      </c>
      <c r="I19" s="34" t="s">
        <v>233</v>
      </c>
      <c r="J19" s="34" t="s">
        <v>234</v>
      </c>
      <c r="K19" s="35" t="s">
        <v>235</v>
      </c>
      <c r="L19" s="36" t="s">
        <v>236</v>
      </c>
      <c r="M19" s="37" t="s">
        <v>152</v>
      </c>
    </row>
    <row r="20" ht="31.5" customHeight="1">
      <c r="A20" s="19">
        <v>17.0</v>
      </c>
      <c r="B20" s="20">
        <v>5.0</v>
      </c>
      <c r="C20" s="20" t="s">
        <v>118</v>
      </c>
      <c r="D20" s="20" t="s">
        <v>60</v>
      </c>
      <c r="E20" s="21" t="s">
        <v>83</v>
      </c>
      <c r="F20" s="20" t="s">
        <v>237</v>
      </c>
      <c r="G20" s="20" t="s">
        <v>238</v>
      </c>
      <c r="H20" s="21" t="s">
        <v>239</v>
      </c>
      <c r="I20" s="20" t="s">
        <v>240</v>
      </c>
      <c r="J20" s="20" t="s">
        <v>241</v>
      </c>
      <c r="K20" s="21" t="s">
        <v>242</v>
      </c>
      <c r="L20" s="31" t="s">
        <v>243</v>
      </c>
      <c r="M20" s="23"/>
    </row>
    <row r="21" ht="31.5" customHeight="1">
      <c r="A21" s="19">
        <v>18.0</v>
      </c>
      <c r="B21" s="20">
        <v>5.0</v>
      </c>
      <c r="C21" s="20" t="s">
        <v>127</v>
      </c>
      <c r="D21" s="20" t="s">
        <v>60</v>
      </c>
      <c r="E21" s="21" t="s">
        <v>83</v>
      </c>
      <c r="F21" s="20" t="s">
        <v>244</v>
      </c>
      <c r="G21" s="20" t="s">
        <v>245</v>
      </c>
      <c r="H21" s="21" t="s">
        <v>246</v>
      </c>
      <c r="I21" s="20" t="s">
        <v>247</v>
      </c>
      <c r="J21" s="20" t="s">
        <v>248</v>
      </c>
      <c r="K21" s="21" t="s">
        <v>249</v>
      </c>
      <c r="L21" s="31" t="s">
        <v>250</v>
      </c>
      <c r="M21" s="23"/>
    </row>
    <row r="22" ht="31.5" customHeight="1">
      <c r="A22" s="19">
        <v>19.0</v>
      </c>
      <c r="B22" s="20">
        <v>5.0</v>
      </c>
      <c r="C22" s="20" t="s">
        <v>135</v>
      </c>
      <c r="D22" s="20" t="s">
        <v>60</v>
      </c>
      <c r="E22" s="21" t="s">
        <v>83</v>
      </c>
      <c r="F22" s="20" t="s">
        <v>251</v>
      </c>
      <c r="G22" s="20" t="s">
        <v>252</v>
      </c>
      <c r="H22" s="21" t="s">
        <v>253</v>
      </c>
      <c r="I22" s="20" t="s">
        <v>254</v>
      </c>
      <c r="J22" s="20" t="s">
        <v>255</v>
      </c>
      <c r="K22" s="21" t="s">
        <v>256</v>
      </c>
      <c r="L22" s="31" t="s">
        <v>257</v>
      </c>
      <c r="M22" s="23"/>
    </row>
    <row r="23" ht="31.5" customHeight="1">
      <c r="A23" s="32">
        <v>20.0</v>
      </c>
      <c r="B23" s="33">
        <v>5.0</v>
      </c>
      <c r="C23" s="34" t="s">
        <v>143</v>
      </c>
      <c r="D23" s="33" t="s">
        <v>144</v>
      </c>
      <c r="E23" s="35" t="s">
        <v>83</v>
      </c>
      <c r="F23" s="34" t="s">
        <v>258</v>
      </c>
      <c r="G23" s="34" t="s">
        <v>259</v>
      </c>
      <c r="H23" s="35" t="s">
        <v>260</v>
      </c>
      <c r="I23" s="34" t="s">
        <v>261</v>
      </c>
      <c r="J23" s="34" t="s">
        <v>262</v>
      </c>
      <c r="K23" s="35" t="s">
        <v>263</v>
      </c>
      <c r="L23" s="36" t="s">
        <v>264</v>
      </c>
      <c r="M23" s="37" t="s">
        <v>152</v>
      </c>
    </row>
    <row r="24" ht="31.5" customHeight="1">
      <c r="A24" s="19">
        <v>21.0</v>
      </c>
      <c r="B24" s="20">
        <v>6.0</v>
      </c>
      <c r="C24" s="20" t="s">
        <v>118</v>
      </c>
      <c r="D24" s="20" t="s">
        <v>60</v>
      </c>
      <c r="E24" s="21" t="s">
        <v>83</v>
      </c>
      <c r="F24" s="20" t="s">
        <v>265</v>
      </c>
      <c r="G24" s="20" t="s">
        <v>266</v>
      </c>
      <c r="H24" s="21" t="s">
        <v>267</v>
      </c>
      <c r="I24" s="20" t="s">
        <v>268</v>
      </c>
      <c r="J24" s="20" t="s">
        <v>269</v>
      </c>
      <c r="K24" s="21" t="s">
        <v>270</v>
      </c>
      <c r="L24" s="31" t="s">
        <v>271</v>
      </c>
      <c r="M24" s="23"/>
    </row>
    <row r="25" ht="31.5" customHeight="1">
      <c r="A25" s="19">
        <v>22.0</v>
      </c>
      <c r="B25" s="20">
        <v>6.0</v>
      </c>
      <c r="C25" s="20" t="s">
        <v>127</v>
      </c>
      <c r="D25" s="20" t="s">
        <v>60</v>
      </c>
      <c r="E25" s="21" t="s">
        <v>83</v>
      </c>
      <c r="F25" s="20" t="s">
        <v>272</v>
      </c>
      <c r="G25" s="20" t="s">
        <v>273</v>
      </c>
      <c r="H25" s="21" t="s">
        <v>274</v>
      </c>
      <c r="I25" s="20" t="s">
        <v>275</v>
      </c>
      <c r="J25" s="20" t="s">
        <v>276</v>
      </c>
      <c r="K25" s="21" t="s">
        <v>277</v>
      </c>
      <c r="L25" s="31" t="s">
        <v>278</v>
      </c>
      <c r="M25" s="23"/>
    </row>
    <row r="26" ht="31.5" customHeight="1">
      <c r="A26" s="19">
        <v>23.0</v>
      </c>
      <c r="B26" s="20">
        <v>6.0</v>
      </c>
      <c r="C26" s="20" t="s">
        <v>135</v>
      </c>
      <c r="D26" s="20" t="s">
        <v>60</v>
      </c>
      <c r="E26" s="21" t="s">
        <v>83</v>
      </c>
      <c r="F26" s="20" t="s">
        <v>279</v>
      </c>
      <c r="G26" s="20" t="s">
        <v>280</v>
      </c>
      <c r="H26" s="21" t="s">
        <v>281</v>
      </c>
      <c r="I26" s="20" t="s">
        <v>282</v>
      </c>
      <c r="J26" s="20" t="s">
        <v>283</v>
      </c>
      <c r="K26" s="21" t="s">
        <v>284</v>
      </c>
      <c r="L26" s="31" t="s">
        <v>285</v>
      </c>
      <c r="M26" s="23"/>
    </row>
    <row r="27" ht="31.5" customHeight="1">
      <c r="A27" s="32">
        <v>24.0</v>
      </c>
      <c r="B27" s="33">
        <v>6.0</v>
      </c>
      <c r="C27" s="34" t="s">
        <v>143</v>
      </c>
      <c r="D27" s="33" t="s">
        <v>144</v>
      </c>
      <c r="E27" s="35" t="s">
        <v>83</v>
      </c>
      <c r="F27" s="34" t="s">
        <v>286</v>
      </c>
      <c r="G27" s="34" t="s">
        <v>287</v>
      </c>
      <c r="H27" s="35" t="s">
        <v>288</v>
      </c>
      <c r="I27" s="34" t="s">
        <v>289</v>
      </c>
      <c r="J27" s="34" t="s">
        <v>290</v>
      </c>
      <c r="K27" s="35" t="s">
        <v>291</v>
      </c>
      <c r="L27" s="36" t="s">
        <v>292</v>
      </c>
      <c r="M27" s="37" t="s">
        <v>152</v>
      </c>
    </row>
    <row r="28" ht="31.5" customHeight="1">
      <c r="A28" s="24">
        <v>25.0</v>
      </c>
      <c r="B28" s="25">
        <v>7.0</v>
      </c>
      <c r="C28" s="25" t="s">
        <v>118</v>
      </c>
      <c r="D28" s="25" t="s">
        <v>60</v>
      </c>
      <c r="E28" s="26" t="s">
        <v>89</v>
      </c>
      <c r="F28" s="25" t="s">
        <v>293</v>
      </c>
      <c r="G28" s="25" t="s">
        <v>294</v>
      </c>
      <c r="H28" s="38" t="s">
        <v>295</v>
      </c>
      <c r="I28" s="25" t="s">
        <v>296</v>
      </c>
      <c r="J28" s="25" t="s">
        <v>297</v>
      </c>
      <c r="K28" s="39" t="s">
        <v>298</v>
      </c>
      <c r="L28" s="40" t="s">
        <v>299</v>
      </c>
      <c r="M28" s="27"/>
    </row>
    <row r="29" ht="31.5" customHeight="1">
      <c r="A29" s="24">
        <v>26.0</v>
      </c>
      <c r="B29" s="25">
        <v>7.0</v>
      </c>
      <c r="C29" s="25" t="s">
        <v>127</v>
      </c>
      <c r="D29" s="25" t="s">
        <v>60</v>
      </c>
      <c r="E29" s="26" t="s">
        <v>89</v>
      </c>
      <c r="F29" s="25" t="s">
        <v>300</v>
      </c>
      <c r="G29" s="25" t="s">
        <v>301</v>
      </c>
      <c r="H29" s="38" t="s">
        <v>302</v>
      </c>
      <c r="I29" s="25" t="s">
        <v>303</v>
      </c>
      <c r="J29" s="25" t="s">
        <v>304</v>
      </c>
      <c r="K29" s="39" t="s">
        <v>305</v>
      </c>
      <c r="L29" s="40" t="s">
        <v>306</v>
      </c>
      <c r="M29" s="27"/>
    </row>
    <row r="30" ht="31.5" customHeight="1">
      <c r="A30" s="24">
        <v>27.0</v>
      </c>
      <c r="B30" s="25">
        <v>7.0</v>
      </c>
      <c r="C30" s="25" t="s">
        <v>135</v>
      </c>
      <c r="D30" s="25" t="s">
        <v>60</v>
      </c>
      <c r="E30" s="26" t="s">
        <v>89</v>
      </c>
      <c r="F30" s="25" t="s">
        <v>307</v>
      </c>
      <c r="G30" s="25" t="s">
        <v>308</v>
      </c>
      <c r="H30" s="38" t="s">
        <v>309</v>
      </c>
      <c r="I30" s="25" t="s">
        <v>310</v>
      </c>
      <c r="J30" s="25" t="s">
        <v>311</v>
      </c>
      <c r="K30" s="39" t="s">
        <v>312</v>
      </c>
      <c r="L30" s="40" t="s">
        <v>313</v>
      </c>
      <c r="M30" s="27"/>
    </row>
    <row r="31" ht="31.5" customHeight="1">
      <c r="A31" s="32">
        <v>28.0</v>
      </c>
      <c r="B31" s="33">
        <v>7.0</v>
      </c>
      <c r="C31" s="34" t="s">
        <v>143</v>
      </c>
      <c r="D31" s="33" t="s">
        <v>144</v>
      </c>
      <c r="E31" s="34" t="s">
        <v>89</v>
      </c>
      <c r="F31" s="34" t="s">
        <v>314</v>
      </c>
      <c r="G31" s="34" t="s">
        <v>315</v>
      </c>
      <c r="H31" s="34" t="s">
        <v>316</v>
      </c>
      <c r="I31" s="34" t="s">
        <v>317</v>
      </c>
      <c r="J31" s="34" t="s">
        <v>318</v>
      </c>
      <c r="K31" s="35" t="s">
        <v>319</v>
      </c>
      <c r="L31" s="36" t="s">
        <v>320</v>
      </c>
      <c r="M31" s="37" t="s">
        <v>152</v>
      </c>
    </row>
    <row r="32" ht="31.5" customHeight="1">
      <c r="A32" s="24">
        <v>29.0</v>
      </c>
      <c r="B32" s="25">
        <v>8.0</v>
      </c>
      <c r="C32" s="25" t="s">
        <v>118</v>
      </c>
      <c r="D32" s="25" t="s">
        <v>60</v>
      </c>
      <c r="E32" s="26" t="s">
        <v>89</v>
      </c>
      <c r="F32" s="25" t="s">
        <v>321</v>
      </c>
      <c r="G32" s="25" t="s">
        <v>322</v>
      </c>
      <c r="H32" s="38" t="s">
        <v>323</v>
      </c>
      <c r="I32" s="25" t="s">
        <v>324</v>
      </c>
      <c r="J32" s="25" t="s">
        <v>325</v>
      </c>
      <c r="K32" s="39" t="s">
        <v>326</v>
      </c>
      <c r="L32" s="40" t="s">
        <v>327</v>
      </c>
      <c r="M32" s="27"/>
    </row>
    <row r="33" ht="31.5" customHeight="1">
      <c r="A33" s="24">
        <v>30.0</v>
      </c>
      <c r="B33" s="25">
        <v>8.0</v>
      </c>
      <c r="C33" s="25" t="s">
        <v>127</v>
      </c>
      <c r="D33" s="25" t="s">
        <v>60</v>
      </c>
      <c r="E33" s="26" t="s">
        <v>89</v>
      </c>
      <c r="F33" s="25" t="s">
        <v>328</v>
      </c>
      <c r="G33" s="25" t="s">
        <v>329</v>
      </c>
      <c r="H33" s="38" t="s">
        <v>330</v>
      </c>
      <c r="I33" s="25" t="s">
        <v>331</v>
      </c>
      <c r="J33" s="25" t="s">
        <v>332</v>
      </c>
      <c r="K33" s="39" t="s">
        <v>333</v>
      </c>
      <c r="L33" s="40" t="s">
        <v>334</v>
      </c>
      <c r="M33" s="27"/>
    </row>
    <row r="34" ht="31.5" customHeight="1">
      <c r="A34" s="24">
        <v>31.0</v>
      </c>
      <c r="B34" s="25">
        <v>8.0</v>
      </c>
      <c r="C34" s="25" t="s">
        <v>135</v>
      </c>
      <c r="D34" s="25" t="s">
        <v>60</v>
      </c>
      <c r="E34" s="26" t="s">
        <v>89</v>
      </c>
      <c r="F34" s="25" t="s">
        <v>335</v>
      </c>
      <c r="G34" s="25" t="s">
        <v>336</v>
      </c>
      <c r="H34" s="38" t="s">
        <v>337</v>
      </c>
      <c r="I34" s="25" t="s">
        <v>338</v>
      </c>
      <c r="J34" s="25" t="s">
        <v>339</v>
      </c>
      <c r="K34" s="39" t="s">
        <v>340</v>
      </c>
      <c r="L34" s="40" t="s">
        <v>341</v>
      </c>
      <c r="M34" s="27"/>
    </row>
    <row r="35" ht="31.5" customHeight="1">
      <c r="A35" s="32">
        <v>32.0</v>
      </c>
      <c r="B35" s="33">
        <v>8.0</v>
      </c>
      <c r="C35" s="34" t="s">
        <v>143</v>
      </c>
      <c r="D35" s="33" t="s">
        <v>144</v>
      </c>
      <c r="E35" s="34" t="s">
        <v>89</v>
      </c>
      <c r="F35" s="34" t="s">
        <v>342</v>
      </c>
      <c r="G35" s="34" t="s">
        <v>343</v>
      </c>
      <c r="H35" s="34" t="s">
        <v>344</v>
      </c>
      <c r="I35" s="34" t="s">
        <v>345</v>
      </c>
      <c r="J35" s="34" t="s">
        <v>346</v>
      </c>
      <c r="K35" s="35" t="s">
        <v>347</v>
      </c>
      <c r="L35" s="36" t="s">
        <v>348</v>
      </c>
      <c r="M35" s="37" t="s">
        <v>152</v>
      </c>
    </row>
    <row r="36" ht="31.5" customHeight="1">
      <c r="A36" s="19">
        <v>33.0</v>
      </c>
      <c r="B36" s="20">
        <v>9.0</v>
      </c>
      <c r="C36" s="20" t="s">
        <v>118</v>
      </c>
      <c r="D36" s="20" t="s">
        <v>60</v>
      </c>
      <c r="E36" s="21" t="s">
        <v>94</v>
      </c>
      <c r="F36" s="20" t="s">
        <v>349</v>
      </c>
      <c r="G36" s="20" t="s">
        <v>350</v>
      </c>
      <c r="H36" s="21" t="s">
        <v>351</v>
      </c>
      <c r="I36" s="20" t="s">
        <v>352</v>
      </c>
      <c r="J36" s="20" t="s">
        <v>353</v>
      </c>
      <c r="K36" s="21" t="s">
        <v>354</v>
      </c>
      <c r="L36" s="31" t="s">
        <v>355</v>
      </c>
      <c r="M36" s="23"/>
    </row>
    <row r="37" ht="31.5" customHeight="1">
      <c r="A37" s="19">
        <v>34.0</v>
      </c>
      <c r="B37" s="20">
        <v>9.0</v>
      </c>
      <c r="C37" s="20" t="s">
        <v>127</v>
      </c>
      <c r="D37" s="20" t="s">
        <v>60</v>
      </c>
      <c r="E37" s="21" t="s">
        <v>94</v>
      </c>
      <c r="F37" s="20" t="s">
        <v>356</v>
      </c>
      <c r="G37" s="20" t="s">
        <v>357</v>
      </c>
      <c r="H37" s="21" t="s">
        <v>358</v>
      </c>
      <c r="I37" s="20" t="s">
        <v>359</v>
      </c>
      <c r="J37" s="20" t="s">
        <v>360</v>
      </c>
      <c r="K37" s="21" t="s">
        <v>361</v>
      </c>
      <c r="L37" s="31" t="s">
        <v>362</v>
      </c>
      <c r="M37" s="23"/>
    </row>
    <row r="38" ht="31.5" customHeight="1">
      <c r="A38" s="19">
        <v>35.0</v>
      </c>
      <c r="B38" s="20">
        <v>9.0</v>
      </c>
      <c r="C38" s="20" t="s">
        <v>135</v>
      </c>
      <c r="D38" s="20" t="s">
        <v>60</v>
      </c>
      <c r="E38" s="21" t="s">
        <v>94</v>
      </c>
      <c r="F38" s="20" t="s">
        <v>363</v>
      </c>
      <c r="G38" s="20" t="s">
        <v>364</v>
      </c>
      <c r="H38" s="21" t="s">
        <v>365</v>
      </c>
      <c r="I38" s="20" t="s">
        <v>366</v>
      </c>
      <c r="J38" s="20" t="s">
        <v>367</v>
      </c>
      <c r="K38" s="21" t="s">
        <v>368</v>
      </c>
      <c r="L38" s="31" t="s">
        <v>369</v>
      </c>
      <c r="M38" s="23"/>
    </row>
    <row r="39" ht="31.5" customHeight="1">
      <c r="A39" s="32">
        <v>36.0</v>
      </c>
      <c r="B39" s="33">
        <v>9.0</v>
      </c>
      <c r="C39" s="34" t="s">
        <v>143</v>
      </c>
      <c r="D39" s="33" t="s">
        <v>144</v>
      </c>
      <c r="E39" s="35" t="s">
        <v>94</v>
      </c>
      <c r="F39" s="34" t="s">
        <v>370</v>
      </c>
      <c r="G39" s="34" t="s">
        <v>371</v>
      </c>
      <c r="H39" s="35" t="s">
        <v>372</v>
      </c>
      <c r="I39" s="34" t="s">
        <v>373</v>
      </c>
      <c r="J39" s="34" t="s">
        <v>374</v>
      </c>
      <c r="K39" s="35" t="s">
        <v>375</v>
      </c>
      <c r="L39" s="36" t="s">
        <v>376</v>
      </c>
      <c r="M39" s="37" t="s">
        <v>152</v>
      </c>
    </row>
    <row r="40" ht="31.5" customHeight="1">
      <c r="A40" s="19">
        <v>37.0</v>
      </c>
      <c r="B40" s="20">
        <v>10.0</v>
      </c>
      <c r="C40" s="20" t="s">
        <v>118</v>
      </c>
      <c r="D40" s="20" t="s">
        <v>60</v>
      </c>
      <c r="E40" s="21" t="s">
        <v>94</v>
      </c>
      <c r="F40" s="20" t="s">
        <v>377</v>
      </c>
      <c r="G40" s="20" t="s">
        <v>378</v>
      </c>
      <c r="H40" s="21" t="s">
        <v>379</v>
      </c>
      <c r="I40" s="20" t="s">
        <v>380</v>
      </c>
      <c r="J40" s="20" t="s">
        <v>381</v>
      </c>
      <c r="K40" s="21" t="s">
        <v>382</v>
      </c>
      <c r="L40" s="31" t="s">
        <v>383</v>
      </c>
      <c r="M40" s="23"/>
    </row>
    <row r="41" ht="31.5" customHeight="1">
      <c r="A41" s="19">
        <v>38.0</v>
      </c>
      <c r="B41" s="20">
        <v>10.0</v>
      </c>
      <c r="C41" s="20" t="s">
        <v>127</v>
      </c>
      <c r="D41" s="20" t="s">
        <v>60</v>
      </c>
      <c r="E41" s="21" t="s">
        <v>94</v>
      </c>
      <c r="F41" s="20" t="s">
        <v>384</v>
      </c>
      <c r="G41" s="20" t="s">
        <v>385</v>
      </c>
      <c r="H41" s="21" t="s">
        <v>386</v>
      </c>
      <c r="I41" s="20" t="s">
        <v>387</v>
      </c>
      <c r="J41" s="20" t="s">
        <v>388</v>
      </c>
      <c r="K41" s="21" t="s">
        <v>389</v>
      </c>
      <c r="L41" s="31" t="s">
        <v>390</v>
      </c>
      <c r="M41" s="23"/>
    </row>
    <row r="42" ht="31.5" customHeight="1">
      <c r="A42" s="19">
        <v>39.0</v>
      </c>
      <c r="B42" s="20">
        <v>10.0</v>
      </c>
      <c r="C42" s="20" t="s">
        <v>135</v>
      </c>
      <c r="D42" s="20" t="s">
        <v>60</v>
      </c>
      <c r="E42" s="21" t="s">
        <v>94</v>
      </c>
      <c r="F42" s="20" t="s">
        <v>391</v>
      </c>
      <c r="G42" s="20" t="s">
        <v>392</v>
      </c>
      <c r="H42" s="21" t="s">
        <v>393</v>
      </c>
      <c r="I42" s="20" t="s">
        <v>394</v>
      </c>
      <c r="J42" s="20" t="s">
        <v>395</v>
      </c>
      <c r="K42" s="21" t="s">
        <v>396</v>
      </c>
      <c r="L42" s="31" t="s">
        <v>397</v>
      </c>
      <c r="M42" s="23"/>
    </row>
    <row r="43" ht="31.5" customHeight="1">
      <c r="A43" s="32">
        <v>40.0</v>
      </c>
      <c r="B43" s="33">
        <v>10.0</v>
      </c>
      <c r="C43" s="34" t="s">
        <v>143</v>
      </c>
      <c r="D43" s="33" t="s">
        <v>144</v>
      </c>
      <c r="E43" s="35" t="s">
        <v>94</v>
      </c>
      <c r="F43" s="34" t="s">
        <v>398</v>
      </c>
      <c r="G43" s="34" t="s">
        <v>399</v>
      </c>
      <c r="H43" s="35" t="s">
        <v>400</v>
      </c>
      <c r="I43" s="34" t="s">
        <v>401</v>
      </c>
      <c r="J43" s="34" t="s">
        <v>402</v>
      </c>
      <c r="K43" s="35" t="s">
        <v>403</v>
      </c>
      <c r="L43" s="36" t="s">
        <v>404</v>
      </c>
      <c r="M43" s="37" t="s">
        <v>152</v>
      </c>
    </row>
    <row r="44" ht="31.5" customHeight="1">
      <c r="A44" s="24">
        <v>41.0</v>
      </c>
      <c r="B44" s="25">
        <v>11.0</v>
      </c>
      <c r="C44" s="25" t="s">
        <v>118</v>
      </c>
      <c r="D44" s="25" t="s">
        <v>60</v>
      </c>
      <c r="E44" s="26" t="s">
        <v>99</v>
      </c>
      <c r="F44" s="25" t="s">
        <v>405</v>
      </c>
      <c r="G44" s="25" t="s">
        <v>406</v>
      </c>
      <c r="H44" s="38" t="s">
        <v>407</v>
      </c>
      <c r="I44" s="25" t="s">
        <v>408</v>
      </c>
      <c r="J44" s="25" t="s">
        <v>409</v>
      </c>
      <c r="K44" s="39" t="s">
        <v>410</v>
      </c>
      <c r="L44" s="40" t="s">
        <v>411</v>
      </c>
      <c r="M44" s="27"/>
    </row>
    <row r="45" ht="31.5" customHeight="1">
      <c r="A45" s="24">
        <v>42.0</v>
      </c>
      <c r="B45" s="25">
        <v>11.0</v>
      </c>
      <c r="C45" s="25" t="s">
        <v>127</v>
      </c>
      <c r="D45" s="25" t="s">
        <v>60</v>
      </c>
      <c r="E45" s="26" t="s">
        <v>99</v>
      </c>
      <c r="F45" s="25" t="s">
        <v>412</v>
      </c>
      <c r="G45" s="25" t="s">
        <v>413</v>
      </c>
      <c r="H45" s="38" t="s">
        <v>414</v>
      </c>
      <c r="I45" s="25" t="s">
        <v>415</v>
      </c>
      <c r="J45" s="25" t="s">
        <v>416</v>
      </c>
      <c r="K45" s="39" t="s">
        <v>417</v>
      </c>
      <c r="L45" s="40" t="s">
        <v>418</v>
      </c>
      <c r="M45" s="27"/>
    </row>
    <row r="46" ht="31.5" customHeight="1">
      <c r="A46" s="24">
        <v>43.0</v>
      </c>
      <c r="B46" s="25">
        <v>11.0</v>
      </c>
      <c r="C46" s="25" t="s">
        <v>135</v>
      </c>
      <c r="D46" s="25" t="s">
        <v>60</v>
      </c>
      <c r="E46" s="26" t="s">
        <v>99</v>
      </c>
      <c r="F46" s="25" t="s">
        <v>419</v>
      </c>
      <c r="G46" s="25" t="s">
        <v>420</v>
      </c>
      <c r="H46" s="38" t="s">
        <v>421</v>
      </c>
      <c r="I46" s="25" t="s">
        <v>422</v>
      </c>
      <c r="J46" s="25" t="s">
        <v>423</v>
      </c>
      <c r="K46" s="39" t="s">
        <v>424</v>
      </c>
      <c r="L46" s="40" t="s">
        <v>425</v>
      </c>
      <c r="M46" s="27"/>
    </row>
    <row r="47" ht="31.5" customHeight="1">
      <c r="A47" s="32">
        <v>44.0</v>
      </c>
      <c r="B47" s="33">
        <v>11.0</v>
      </c>
      <c r="C47" s="34" t="s">
        <v>143</v>
      </c>
      <c r="D47" s="33" t="s">
        <v>144</v>
      </c>
      <c r="E47" s="34" t="s">
        <v>99</v>
      </c>
      <c r="F47" s="34" t="s">
        <v>426</v>
      </c>
      <c r="G47" s="34" t="s">
        <v>427</v>
      </c>
      <c r="H47" s="34" t="s">
        <v>428</v>
      </c>
      <c r="I47" s="34" t="s">
        <v>429</v>
      </c>
      <c r="J47" s="34" t="s">
        <v>430</v>
      </c>
      <c r="K47" s="35" t="s">
        <v>431</v>
      </c>
      <c r="L47" s="36" t="s">
        <v>432</v>
      </c>
      <c r="M47" s="37" t="s">
        <v>152</v>
      </c>
    </row>
    <row r="48" ht="31.5" customHeight="1">
      <c r="A48" s="24">
        <v>45.0</v>
      </c>
      <c r="B48" s="25">
        <v>12.0</v>
      </c>
      <c r="C48" s="25" t="s">
        <v>118</v>
      </c>
      <c r="D48" s="25" t="s">
        <v>60</v>
      </c>
      <c r="E48" s="26" t="s">
        <v>99</v>
      </c>
      <c r="F48" s="25" t="s">
        <v>433</v>
      </c>
      <c r="G48" s="25" t="s">
        <v>434</v>
      </c>
      <c r="H48" s="38" t="s">
        <v>435</v>
      </c>
      <c r="I48" s="25" t="s">
        <v>436</v>
      </c>
      <c r="J48" s="25" t="s">
        <v>437</v>
      </c>
      <c r="K48" s="39" t="s">
        <v>438</v>
      </c>
      <c r="L48" s="40" t="s">
        <v>439</v>
      </c>
      <c r="M48" s="27"/>
    </row>
    <row r="49" ht="31.5" customHeight="1">
      <c r="A49" s="24">
        <v>46.0</v>
      </c>
      <c r="B49" s="25">
        <v>12.0</v>
      </c>
      <c r="C49" s="25" t="s">
        <v>127</v>
      </c>
      <c r="D49" s="25" t="s">
        <v>60</v>
      </c>
      <c r="E49" s="26" t="s">
        <v>99</v>
      </c>
      <c r="F49" s="25" t="s">
        <v>440</v>
      </c>
      <c r="G49" s="25" t="s">
        <v>441</v>
      </c>
      <c r="H49" s="38" t="s">
        <v>442</v>
      </c>
      <c r="I49" s="25" t="s">
        <v>443</v>
      </c>
      <c r="J49" s="25" t="s">
        <v>444</v>
      </c>
      <c r="K49" s="39" t="s">
        <v>445</v>
      </c>
      <c r="L49" s="40" t="s">
        <v>446</v>
      </c>
      <c r="M49" s="27"/>
    </row>
    <row r="50" ht="31.5" customHeight="1">
      <c r="A50" s="24">
        <v>47.0</v>
      </c>
      <c r="B50" s="25">
        <v>12.0</v>
      </c>
      <c r="C50" s="25" t="s">
        <v>135</v>
      </c>
      <c r="D50" s="25" t="s">
        <v>60</v>
      </c>
      <c r="E50" s="26" t="s">
        <v>99</v>
      </c>
      <c r="F50" s="25" t="s">
        <v>447</v>
      </c>
      <c r="G50" s="25" t="s">
        <v>448</v>
      </c>
      <c r="H50" s="38" t="s">
        <v>449</v>
      </c>
      <c r="I50" s="25" t="s">
        <v>450</v>
      </c>
      <c r="J50" s="25" t="s">
        <v>451</v>
      </c>
      <c r="K50" s="39" t="s">
        <v>452</v>
      </c>
      <c r="L50" s="40" t="s">
        <v>453</v>
      </c>
      <c r="M50" s="27"/>
    </row>
    <row r="51" ht="31.5" customHeight="1">
      <c r="A51" s="32">
        <v>48.0</v>
      </c>
      <c r="B51" s="33">
        <v>12.0</v>
      </c>
      <c r="C51" s="34" t="s">
        <v>143</v>
      </c>
      <c r="D51" s="33" t="s">
        <v>144</v>
      </c>
      <c r="E51" s="34" t="s">
        <v>99</v>
      </c>
      <c r="F51" s="34" t="s">
        <v>454</v>
      </c>
      <c r="G51" s="34" t="s">
        <v>455</v>
      </c>
      <c r="H51" s="34" t="s">
        <v>456</v>
      </c>
      <c r="I51" s="34" t="s">
        <v>457</v>
      </c>
      <c r="J51" s="34" t="s">
        <v>458</v>
      </c>
      <c r="K51" s="35" t="s">
        <v>459</v>
      </c>
      <c r="L51" s="36" t="s">
        <v>460</v>
      </c>
      <c r="M51" s="37" t="s">
        <v>152</v>
      </c>
    </row>
    <row r="52" ht="31.5" customHeight="1">
      <c r="A52" s="19">
        <v>49.0</v>
      </c>
      <c r="B52" s="20">
        <v>13.0</v>
      </c>
      <c r="C52" s="20" t="s">
        <v>118</v>
      </c>
      <c r="D52" s="20" t="s">
        <v>60</v>
      </c>
      <c r="E52" s="21" t="s">
        <v>461</v>
      </c>
      <c r="F52" s="20" t="s">
        <v>462</v>
      </c>
      <c r="G52" s="20" t="s">
        <v>463</v>
      </c>
      <c r="H52" s="21" t="s">
        <v>464</v>
      </c>
      <c r="I52" s="20" t="s">
        <v>465</v>
      </c>
      <c r="J52" s="20" t="s">
        <v>466</v>
      </c>
      <c r="K52" s="21" t="s">
        <v>467</v>
      </c>
      <c r="L52" s="31" t="s">
        <v>468</v>
      </c>
      <c r="M52" s="23"/>
    </row>
    <row r="53" ht="31.5" customHeight="1">
      <c r="A53" s="19">
        <v>50.0</v>
      </c>
      <c r="B53" s="20">
        <v>13.0</v>
      </c>
      <c r="C53" s="20" t="s">
        <v>127</v>
      </c>
      <c r="D53" s="20" t="s">
        <v>60</v>
      </c>
      <c r="E53" s="21" t="s">
        <v>461</v>
      </c>
      <c r="F53" s="20" t="s">
        <v>469</v>
      </c>
      <c r="G53" s="20" t="s">
        <v>470</v>
      </c>
      <c r="H53" s="21" t="s">
        <v>471</v>
      </c>
      <c r="I53" s="20" t="s">
        <v>472</v>
      </c>
      <c r="J53" s="20" t="s">
        <v>473</v>
      </c>
      <c r="K53" s="21" t="s">
        <v>474</v>
      </c>
      <c r="L53" s="31" t="s">
        <v>475</v>
      </c>
      <c r="M53" s="23"/>
    </row>
    <row r="54" ht="31.5" customHeight="1">
      <c r="A54" s="19">
        <v>51.0</v>
      </c>
      <c r="B54" s="20">
        <v>13.0</v>
      </c>
      <c r="C54" s="20" t="s">
        <v>135</v>
      </c>
      <c r="D54" s="20" t="s">
        <v>60</v>
      </c>
      <c r="E54" s="21" t="s">
        <v>461</v>
      </c>
      <c r="F54" s="20" t="s">
        <v>476</v>
      </c>
      <c r="G54" s="20" t="s">
        <v>477</v>
      </c>
      <c r="H54" s="21" t="s">
        <v>478</v>
      </c>
      <c r="I54" s="20" t="s">
        <v>479</v>
      </c>
      <c r="J54" s="20" t="s">
        <v>480</v>
      </c>
      <c r="K54" s="21" t="s">
        <v>481</v>
      </c>
      <c r="L54" s="31" t="s">
        <v>482</v>
      </c>
      <c r="M54" s="23"/>
    </row>
    <row r="55" ht="31.5" customHeight="1">
      <c r="A55" s="32">
        <v>52.0</v>
      </c>
      <c r="B55" s="33">
        <v>13.0</v>
      </c>
      <c r="C55" s="34" t="s">
        <v>143</v>
      </c>
      <c r="D55" s="33" t="s">
        <v>144</v>
      </c>
      <c r="E55" s="35" t="s">
        <v>461</v>
      </c>
      <c r="F55" s="34" t="s">
        <v>483</v>
      </c>
      <c r="G55" s="34" t="s">
        <v>484</v>
      </c>
      <c r="H55" s="35" t="s">
        <v>485</v>
      </c>
      <c r="I55" s="34" t="s">
        <v>486</v>
      </c>
      <c r="J55" s="34" t="s">
        <v>487</v>
      </c>
      <c r="K55" s="35" t="s">
        <v>488</v>
      </c>
      <c r="L55" s="36" t="s">
        <v>489</v>
      </c>
      <c r="M55" s="37" t="s">
        <v>152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28" t="s">
        <v>103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26.25" customHeight="1">
      <c r="A58" s="29" t="s">
        <v>104</v>
      </c>
      <c r="B58" s="4"/>
      <c r="C58" s="4"/>
      <c r="D58" s="12" t="s">
        <v>490</v>
      </c>
      <c r="E58" s="2"/>
      <c r="F58" s="2"/>
      <c r="G58" s="2"/>
      <c r="H58" s="2"/>
      <c r="I58" s="2"/>
      <c r="J58" s="2"/>
      <c r="K58" s="2"/>
      <c r="L58" s="2"/>
      <c r="M58" s="3"/>
    </row>
    <row r="59" ht="39.0" customHeight="1">
      <c r="A59" s="30" t="s">
        <v>106</v>
      </c>
      <c r="B59" s="4"/>
      <c r="C59" s="4"/>
      <c r="D59" s="12" t="s">
        <v>491</v>
      </c>
      <c r="E59" s="2"/>
      <c r="F59" s="2"/>
      <c r="G59" s="2"/>
      <c r="H59" s="2"/>
      <c r="I59" s="2"/>
      <c r="J59" s="2"/>
      <c r="K59" s="2"/>
      <c r="L59" s="2"/>
      <c r="M59" s="3"/>
    </row>
    <row r="60" ht="39.0" customHeight="1">
      <c r="A60" s="41" t="s">
        <v>492</v>
      </c>
      <c r="B60" s="4"/>
      <c r="C60" s="4"/>
      <c r="D60" s="12" t="s">
        <v>493</v>
      </c>
      <c r="E60" s="2"/>
      <c r="F60" s="2"/>
      <c r="G60" s="2"/>
      <c r="H60" s="2"/>
      <c r="I60" s="2"/>
      <c r="J60" s="2"/>
      <c r="K60" s="2"/>
      <c r="L60" s="2"/>
      <c r="M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D58:M58"/>
    <mergeCell ref="D59:M59"/>
    <mergeCell ref="D60:M6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10.0"/>
    <col customWidth="1" min="3" max="3" width="12.0"/>
    <col customWidth="1" min="4" max="6" width="14.0"/>
    <col customWidth="1" min="7" max="8" width="12.0"/>
    <col customWidth="1" min="9" max="9" width="18.0"/>
    <col customWidth="1" min="10" max="26" width="8.71"/>
  </cols>
  <sheetData>
    <row r="1" ht="19.5" customHeight="1">
      <c r="A1" s="42" t="s">
        <v>494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28" t="s">
        <v>495</v>
      </c>
      <c r="B3" s="43">
        <v>1.0</v>
      </c>
      <c r="C3" s="28" t="s">
        <v>496</v>
      </c>
      <c r="D3" s="44">
        <v>1.0</v>
      </c>
      <c r="E3" s="28" t="s">
        <v>497</v>
      </c>
      <c r="F3" s="45">
        <v>46118.0</v>
      </c>
      <c r="G3" s="4"/>
      <c r="H3" s="4"/>
      <c r="I3" s="4"/>
    </row>
    <row r="4" ht="15.0" customHeight="1">
      <c r="A4" s="12" t="s">
        <v>498</v>
      </c>
      <c r="B4" s="2"/>
      <c r="C4" s="2"/>
      <c r="D4" s="2"/>
      <c r="E4" s="2"/>
      <c r="F4" s="2"/>
      <c r="G4" s="2"/>
      <c r="H4" s="2"/>
      <c r="I4" s="3"/>
    </row>
    <row r="5">
      <c r="A5" s="4"/>
      <c r="B5" s="4"/>
      <c r="C5" s="4"/>
      <c r="D5" s="4"/>
      <c r="E5" s="4"/>
      <c r="F5" s="4"/>
      <c r="G5" s="4"/>
      <c r="H5" s="4"/>
      <c r="I5" s="4"/>
    </row>
    <row r="6" ht="15.0" customHeight="1">
      <c r="A6" s="46" t="s">
        <v>499</v>
      </c>
      <c r="B6" s="2"/>
      <c r="C6" s="2"/>
      <c r="D6" s="2"/>
      <c r="E6" s="2"/>
      <c r="F6" s="2"/>
      <c r="G6" s="2"/>
      <c r="H6" s="2"/>
      <c r="I6" s="3"/>
    </row>
    <row r="7">
      <c r="A7" s="6" t="s">
        <v>500</v>
      </c>
      <c r="B7" s="6" t="s">
        <v>501</v>
      </c>
      <c r="C7" s="6" t="s">
        <v>502</v>
      </c>
      <c r="D7" s="6" t="s">
        <v>503</v>
      </c>
      <c r="E7" s="6" t="s">
        <v>504</v>
      </c>
      <c r="F7" s="6" t="s">
        <v>505</v>
      </c>
      <c r="G7" s="6" t="s">
        <v>506</v>
      </c>
      <c r="H7" s="6" t="s">
        <v>507</v>
      </c>
      <c r="I7" s="6" t="s">
        <v>52</v>
      </c>
    </row>
    <row r="8">
      <c r="A8" s="13" t="s">
        <v>508</v>
      </c>
      <c r="B8" s="47" t="s">
        <v>509</v>
      </c>
      <c r="C8" s="47">
        <v>5.0</v>
      </c>
      <c r="D8" s="48">
        <f>ROUND(Setup!C5*0.4/5,0)*5</f>
        <v>110</v>
      </c>
      <c r="E8" s="49"/>
      <c r="F8" s="49"/>
      <c r="G8" s="49"/>
      <c r="H8" s="49"/>
      <c r="I8" s="49"/>
    </row>
    <row r="9">
      <c r="A9" s="14" t="s">
        <v>508</v>
      </c>
      <c r="B9" s="50" t="s">
        <v>510</v>
      </c>
      <c r="C9" s="50">
        <v>5.0</v>
      </c>
      <c r="D9" s="51">
        <f>ROUND(Setup!C5*0.5/5,0)*5</f>
        <v>135</v>
      </c>
      <c r="E9" s="52"/>
      <c r="F9" s="52"/>
      <c r="G9" s="52"/>
      <c r="H9" s="52"/>
      <c r="I9" s="52"/>
    </row>
    <row r="10">
      <c r="A10" s="13" t="s">
        <v>508</v>
      </c>
      <c r="B10" s="47" t="s">
        <v>511</v>
      </c>
      <c r="C10" s="47">
        <v>3.0</v>
      </c>
      <c r="D10" s="48">
        <f>ROUND(Setup!C5*0.6/5,0)*5</f>
        <v>160</v>
      </c>
      <c r="E10" s="49"/>
      <c r="F10" s="49"/>
      <c r="G10" s="49"/>
      <c r="H10" s="49"/>
      <c r="I10" s="49"/>
    </row>
    <row r="11">
      <c r="A11" s="7" t="s">
        <v>17</v>
      </c>
      <c r="B11" s="49" t="s">
        <v>509</v>
      </c>
      <c r="C11" s="49">
        <f>IF($D$3=1,5,IF($D$3=2,3,IF($D$3=3,5,5)))</f>
        <v>5</v>
      </c>
      <c r="D11" s="9">
        <f>IF($D$3=1,ROUND(Setup!C5*0.65/5,0)*5,IF($D$3=2,ROUND(Setup!C5*0.7/5,0)*5,IF($D$3=3,ROUND(Setup!C5*0.75/5,0)*5,ROUND(Setup!C5*0.4/5,0)*5)))</f>
        <v>175</v>
      </c>
      <c r="E11" s="22"/>
      <c r="F11" s="43"/>
      <c r="G11" s="43"/>
      <c r="H11" s="49"/>
      <c r="I11" s="16"/>
    </row>
    <row r="12">
      <c r="A12" s="10" t="s">
        <v>17</v>
      </c>
      <c r="B12" s="52" t="s">
        <v>510</v>
      </c>
      <c r="C12" s="52">
        <f>IF($D$3=1,5,IF($D$3=2,3,IF($D$3=3,3,5)))</f>
        <v>5</v>
      </c>
      <c r="D12" s="11">
        <f>IF($D$3=1,ROUND(Setup!C5*0.75/5,0)*5,IF($D$3=2,ROUND(Setup!C5*0.8/5,0)*5,IF($D$3=3,ROUND(Setup!C5*0.85/5,0)*5,ROUND(Setup!C5*0.5/5,0)*5)))</f>
        <v>205</v>
      </c>
      <c r="E12" s="22"/>
      <c r="F12" s="43"/>
      <c r="G12" s="43"/>
      <c r="H12" s="52"/>
      <c r="I12" s="15"/>
    </row>
    <row r="13">
      <c r="A13" s="7" t="s">
        <v>17</v>
      </c>
      <c r="B13" s="49" t="s">
        <v>511</v>
      </c>
      <c r="C13" s="53" t="str">
        <f>IF($D$3=1,"5+",IF($D$3=2,"3+",IF($D$3=3,"1+","5")))</f>
        <v>5+</v>
      </c>
      <c r="D13" s="9">
        <f>IF($D$3=1,ROUND(Setup!C5*0.85/5,0)*5,IF($D$3=2,ROUND(Setup!C5*0.9/5,0)*5,IF($D$3=3,ROUND(Setup!C5*0.95/5,0)*5,ROUND(Setup!C5*0.6/5,0)*5)))</f>
        <v>230</v>
      </c>
      <c r="E13" s="22"/>
      <c r="F13" s="43"/>
      <c r="G13" s="43"/>
      <c r="H13" s="53" t="str">
        <f>IF(OR($D$3=1,$D$3=2,$D$3=3),"YES","")</f>
        <v>YES</v>
      </c>
      <c r="I13" s="16"/>
    </row>
    <row r="14">
      <c r="A14" s="16" t="s">
        <v>512</v>
      </c>
      <c r="B14" s="47" t="s">
        <v>513</v>
      </c>
      <c r="C14" s="47">
        <v>10.0</v>
      </c>
      <c r="D14" s="47">
        <f>IF($D$3="Deload","",ROUND(Setup!C5*IF($B$3&lt;=2,0.5,IF($B$3&lt;=4,0.55,0.6))/5,0)*5)</f>
        <v>135</v>
      </c>
      <c r="E14" s="22"/>
      <c r="F14" s="43"/>
      <c r="G14" s="49"/>
      <c r="H14" s="49"/>
      <c r="I14" s="49"/>
    </row>
    <row r="15">
      <c r="A15" s="15"/>
      <c r="B15" s="50" t="s">
        <v>514</v>
      </c>
      <c r="C15" s="50">
        <v>10.0</v>
      </c>
      <c r="D15" s="50">
        <f>IF($D$3="Deload","",ROUND(Setup!C5*IF($B$3&lt;=2,0.5,IF($B$3&lt;=4,0.55,0.6))/5,0)*5)</f>
        <v>135</v>
      </c>
      <c r="E15" s="22"/>
      <c r="F15" s="43"/>
      <c r="G15" s="52"/>
      <c r="H15" s="52"/>
      <c r="I15" s="52"/>
    </row>
    <row r="16">
      <c r="A16" s="16"/>
      <c r="B16" s="47" t="s">
        <v>515</v>
      </c>
      <c r="C16" s="47">
        <v>10.0</v>
      </c>
      <c r="D16" s="47">
        <f>IF($D$3="Deload","",ROUND(Setup!C5*IF($B$3&lt;=2,0.5,IF($B$3&lt;=4,0.55,0.6))/5,0)*5)</f>
        <v>135</v>
      </c>
      <c r="E16" s="22"/>
      <c r="F16" s="43"/>
      <c r="G16" s="49"/>
      <c r="H16" s="49"/>
      <c r="I16" s="49"/>
    </row>
    <row r="17">
      <c r="A17" s="15"/>
      <c r="B17" s="50" t="s">
        <v>516</v>
      </c>
      <c r="C17" s="50">
        <v>10.0</v>
      </c>
      <c r="D17" s="50">
        <f>IF($D$3="Deload","",ROUND(Setup!C5*IF($B$3&lt;=2,0.5,IF($B$3&lt;=4,0.55,0.6))/5,0)*5)</f>
        <v>135</v>
      </c>
      <c r="E17" s="22"/>
      <c r="F17" s="43"/>
      <c r="G17" s="52"/>
      <c r="H17" s="52"/>
      <c r="I17" s="52"/>
    </row>
    <row r="18">
      <c r="A18" s="16"/>
      <c r="B18" s="47" t="s">
        <v>517</v>
      </c>
      <c r="C18" s="47">
        <v>10.0</v>
      </c>
      <c r="D18" s="47">
        <f>IF($D$3="Deload","",ROUND(Setup!C5*IF($B$3&lt;=2,0.5,IF($B$3&lt;=4,0.55,0.6))/5,0)*5)</f>
        <v>135</v>
      </c>
      <c r="E18" s="22"/>
      <c r="F18" s="43"/>
      <c r="G18" s="49"/>
      <c r="H18" s="49"/>
      <c r="I18" s="49"/>
    </row>
    <row r="19">
      <c r="A19" s="54" t="s">
        <v>518</v>
      </c>
      <c r="B19" s="55"/>
      <c r="C19" s="55"/>
      <c r="D19" s="55"/>
      <c r="E19" s="55"/>
      <c r="F19" s="55"/>
      <c r="G19" s="55"/>
      <c r="H19" s="55"/>
      <c r="I19" s="55"/>
    </row>
    <row r="20">
      <c r="A20" s="16" t="s">
        <v>519</v>
      </c>
      <c r="B20" s="47"/>
      <c r="C20" s="49">
        <v>10.0</v>
      </c>
      <c r="D20" s="47" t="s">
        <v>520</v>
      </c>
      <c r="E20" s="22"/>
      <c r="F20" s="43"/>
      <c r="G20" s="49"/>
      <c r="H20" s="49"/>
      <c r="I20" s="49"/>
    </row>
    <row r="21" ht="15.75" customHeight="1">
      <c r="A21" s="56" t="s">
        <v>521</v>
      </c>
      <c r="B21" s="57"/>
      <c r="C21" s="49">
        <v>15.0</v>
      </c>
      <c r="D21" s="47" t="s">
        <v>522</v>
      </c>
      <c r="E21" s="8">
        <v>15.0</v>
      </c>
      <c r="F21" s="43"/>
      <c r="G21" s="49"/>
      <c r="H21" s="49"/>
      <c r="I21" s="49"/>
    </row>
    <row r="22" ht="15.75" customHeight="1">
      <c r="A22" s="15" t="s">
        <v>523</v>
      </c>
      <c r="B22" s="50"/>
      <c r="C22" s="52">
        <v>15.0</v>
      </c>
      <c r="D22" s="50" t="s">
        <v>522</v>
      </c>
      <c r="E22" s="22"/>
      <c r="F22" s="43"/>
      <c r="G22" s="52"/>
      <c r="H22" s="52"/>
      <c r="I22" s="52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ht="15.0" customHeight="1">
      <c r="A24" s="46" t="s">
        <v>524</v>
      </c>
      <c r="B24" s="2"/>
      <c r="C24" s="2"/>
      <c r="D24" s="2"/>
      <c r="E24" s="2"/>
      <c r="F24" s="2"/>
      <c r="G24" s="2"/>
      <c r="H24" s="2"/>
      <c r="I24" s="3"/>
    </row>
    <row r="25" ht="15.75" customHeight="1">
      <c r="A25" s="6" t="s">
        <v>500</v>
      </c>
      <c r="B25" s="6" t="s">
        <v>501</v>
      </c>
      <c r="C25" s="6" t="s">
        <v>502</v>
      </c>
      <c r="D25" s="6" t="s">
        <v>503</v>
      </c>
      <c r="E25" s="6" t="s">
        <v>504</v>
      </c>
      <c r="F25" s="6" t="s">
        <v>505</v>
      </c>
      <c r="G25" s="6" t="s">
        <v>506</v>
      </c>
      <c r="H25" s="6" t="s">
        <v>507</v>
      </c>
      <c r="I25" s="6" t="s">
        <v>52</v>
      </c>
    </row>
    <row r="26" ht="15.75" customHeight="1">
      <c r="A26" s="13" t="s">
        <v>508</v>
      </c>
      <c r="B26" s="47" t="s">
        <v>509</v>
      </c>
      <c r="C26" s="47">
        <v>5.0</v>
      </c>
      <c r="D26" s="48">
        <f>ROUND(Setup!C6*0.4/5,0)*5</f>
        <v>90</v>
      </c>
      <c r="E26" s="49"/>
      <c r="F26" s="49"/>
      <c r="G26" s="49"/>
      <c r="H26" s="49"/>
      <c r="I26" s="49"/>
    </row>
    <row r="27" ht="15.75" customHeight="1">
      <c r="A27" s="14" t="s">
        <v>508</v>
      </c>
      <c r="B27" s="50" t="s">
        <v>510</v>
      </c>
      <c r="C27" s="50">
        <v>5.0</v>
      </c>
      <c r="D27" s="51">
        <f>ROUND(Setup!C6*0.5/5,0)*5</f>
        <v>115</v>
      </c>
      <c r="E27" s="52"/>
      <c r="F27" s="52"/>
      <c r="G27" s="52"/>
      <c r="H27" s="52"/>
      <c r="I27" s="52"/>
    </row>
    <row r="28" ht="15.75" customHeight="1">
      <c r="A28" s="13" t="s">
        <v>508</v>
      </c>
      <c r="B28" s="47" t="s">
        <v>511</v>
      </c>
      <c r="C28" s="47">
        <v>3.0</v>
      </c>
      <c r="D28" s="48">
        <f>ROUND(Setup!C6*0.6/5,0)*5</f>
        <v>140</v>
      </c>
      <c r="E28" s="49"/>
      <c r="F28" s="49"/>
      <c r="G28" s="49"/>
      <c r="H28" s="49"/>
      <c r="I28" s="49"/>
    </row>
    <row r="29" ht="15.75" customHeight="1">
      <c r="A29" s="7" t="s">
        <v>18</v>
      </c>
      <c r="B29" s="49" t="s">
        <v>509</v>
      </c>
      <c r="C29" s="49">
        <f>IF($D$3=1,5,IF($D$3=2,3,IF($D$3=3,5,5)))</f>
        <v>5</v>
      </c>
      <c r="D29" s="9">
        <f>IF($D$3=1,ROUND(Setup!C6*0.65/5,0)*5,IF($D$3=2,ROUND(Setup!C6*0.7/5,0)*5,IF($D$3=3,ROUND(Setup!C6*0.75/5,0)*5,ROUND(Setup!C6*0.4/5,0)*5)))</f>
        <v>150</v>
      </c>
      <c r="E29" s="22"/>
      <c r="F29" s="43"/>
      <c r="G29" s="43"/>
      <c r="H29" s="49"/>
      <c r="I29" s="16"/>
    </row>
    <row r="30" ht="15.75" customHeight="1">
      <c r="A30" s="10" t="s">
        <v>18</v>
      </c>
      <c r="B30" s="52" t="s">
        <v>510</v>
      </c>
      <c r="C30" s="52">
        <f>IF($D$3=1,5,IF($D$3=2,3,IF($D$3=3,3,5)))</f>
        <v>5</v>
      </c>
      <c r="D30" s="11">
        <f>IF($D$3=1,ROUND(Setup!C6*0.75/5,0)*5,IF($D$3=2,ROUND(Setup!C6*0.8/5,0)*5,IF($D$3=3,ROUND(Setup!C6*0.85/5,0)*5,ROUND(Setup!C6*0.5/5,0)*5)))</f>
        <v>175</v>
      </c>
      <c r="E30" s="22"/>
      <c r="F30" s="43"/>
      <c r="G30" s="43"/>
      <c r="H30" s="52"/>
      <c r="I30" s="15"/>
    </row>
    <row r="31" ht="15.75" customHeight="1">
      <c r="A31" s="7" t="s">
        <v>18</v>
      </c>
      <c r="B31" s="49" t="s">
        <v>511</v>
      </c>
      <c r="C31" s="53" t="str">
        <f>IF($D$3=1,"5+",IF($D$3=2,"3+",IF($D$3=3,"1+","5")))</f>
        <v>5+</v>
      </c>
      <c r="D31" s="9">
        <f>IF($D$3=1,ROUND(Setup!C6*0.85/5,0)*5,IF($D$3=2,ROUND(Setup!C6*0.9/5,0)*5,IF($D$3=3,ROUND(Setup!C6*0.95/5,0)*5,ROUND(Setup!C6*0.6/5,0)*5)))</f>
        <v>195</v>
      </c>
      <c r="E31" s="22"/>
      <c r="F31" s="43"/>
      <c r="G31" s="43"/>
      <c r="H31" s="53" t="str">
        <f>IF(OR($D$3=1,$D$3=2,$D$3=3),"YES","")</f>
        <v>YES</v>
      </c>
      <c r="I31" s="16"/>
    </row>
    <row r="32" ht="15.75" customHeight="1">
      <c r="A32" s="16" t="s">
        <v>525</v>
      </c>
      <c r="B32" s="47" t="s">
        <v>513</v>
      </c>
      <c r="C32" s="47">
        <v>10.0</v>
      </c>
      <c r="D32" s="47">
        <f>IF($D$3="Deload","",ROUND(Setup!C6*IF($B$3&lt;=2,0.5,IF($B$3&lt;=4,0.55,0.6))/5,0)*5)</f>
        <v>115</v>
      </c>
      <c r="E32" s="22"/>
      <c r="F32" s="43"/>
      <c r="G32" s="49"/>
      <c r="H32" s="49"/>
      <c r="I32" s="49"/>
    </row>
    <row r="33" ht="15.75" customHeight="1">
      <c r="A33" s="15"/>
      <c r="B33" s="50" t="s">
        <v>514</v>
      </c>
      <c r="C33" s="50">
        <v>10.0</v>
      </c>
      <c r="D33" s="50">
        <f>IF($D$3="Deload","",ROUND(Setup!C6*IF($B$3&lt;=2,0.5,IF($B$3&lt;=4,0.55,0.6))/5,0)*5)</f>
        <v>115</v>
      </c>
      <c r="E33" s="22"/>
      <c r="F33" s="43"/>
      <c r="G33" s="52"/>
      <c r="H33" s="52"/>
      <c r="I33" s="52"/>
    </row>
    <row r="34" ht="15.75" customHeight="1">
      <c r="A34" s="16"/>
      <c r="B34" s="47" t="s">
        <v>515</v>
      </c>
      <c r="C34" s="47">
        <v>10.0</v>
      </c>
      <c r="D34" s="47">
        <f>IF($D$3="Deload","",ROUND(Setup!C6*IF($B$3&lt;=2,0.5,IF($B$3&lt;=4,0.55,0.6))/5,0)*5)</f>
        <v>115</v>
      </c>
      <c r="E34" s="22"/>
      <c r="F34" s="43"/>
      <c r="G34" s="49"/>
      <c r="H34" s="49"/>
      <c r="I34" s="49"/>
    </row>
    <row r="35" ht="15.75" customHeight="1">
      <c r="A35" s="15"/>
      <c r="B35" s="50" t="s">
        <v>516</v>
      </c>
      <c r="C35" s="50">
        <v>10.0</v>
      </c>
      <c r="D35" s="50">
        <f>IF($D$3="Deload","",ROUND(Setup!C6*IF($B$3&lt;=2,0.5,IF($B$3&lt;=4,0.55,0.6))/5,0)*5)</f>
        <v>115</v>
      </c>
      <c r="E35" s="22"/>
      <c r="F35" s="43"/>
      <c r="G35" s="52"/>
      <c r="H35" s="52"/>
      <c r="I35" s="52"/>
    </row>
    <row r="36" ht="15.75" customHeight="1">
      <c r="A36" s="16"/>
      <c r="B36" s="47" t="s">
        <v>517</v>
      </c>
      <c r="C36" s="47">
        <v>10.0</v>
      </c>
      <c r="D36" s="47">
        <f>IF($D$3="Deload","",ROUND(Setup!C6*IF($B$3&lt;=2,0.5,IF($B$3&lt;=4,0.55,0.6))/5,0)*5)</f>
        <v>115</v>
      </c>
      <c r="E36" s="22"/>
      <c r="F36" s="43"/>
      <c r="G36" s="49"/>
      <c r="H36" s="49"/>
      <c r="I36" s="49"/>
    </row>
    <row r="37" ht="15.75" customHeight="1">
      <c r="A37" s="54" t="s">
        <v>518</v>
      </c>
      <c r="B37" s="55"/>
      <c r="C37" s="55"/>
      <c r="D37" s="55"/>
      <c r="E37" s="55"/>
      <c r="F37" s="55"/>
      <c r="G37" s="55"/>
      <c r="H37" s="55"/>
      <c r="I37" s="55"/>
    </row>
    <row r="38" ht="15.75" customHeight="1">
      <c r="A38" s="56" t="s">
        <v>526</v>
      </c>
      <c r="B38" s="47"/>
      <c r="C38" s="49">
        <v>10.0</v>
      </c>
      <c r="D38" s="47" t="s">
        <v>520</v>
      </c>
      <c r="E38" s="22"/>
      <c r="F38" s="43"/>
      <c r="G38" s="49"/>
      <c r="H38" s="49"/>
      <c r="I38" s="49"/>
    </row>
    <row r="39" ht="15.75" customHeight="1">
      <c r="A39" s="58" t="s">
        <v>527</v>
      </c>
      <c r="B39" s="50"/>
      <c r="C39" s="59">
        <v>10.0</v>
      </c>
      <c r="D39" s="47" t="s">
        <v>520</v>
      </c>
      <c r="E39" s="22"/>
      <c r="F39" s="43"/>
      <c r="G39" s="52"/>
      <c r="H39" s="52"/>
      <c r="I39" s="52"/>
    </row>
    <row r="40" ht="15.75" customHeight="1">
      <c r="A40" s="56" t="s">
        <v>528</v>
      </c>
      <c r="B40" s="47"/>
      <c r="C40" s="49">
        <v>15.0</v>
      </c>
      <c r="D40" s="47" t="s">
        <v>522</v>
      </c>
      <c r="E40" s="8">
        <v>5.0</v>
      </c>
      <c r="F40" s="43"/>
      <c r="G40" s="49"/>
      <c r="H40" s="49"/>
      <c r="I40" s="49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0" customHeight="1">
      <c r="A42" s="46" t="s">
        <v>529</v>
      </c>
      <c r="B42" s="2"/>
      <c r="C42" s="2"/>
      <c r="D42" s="2"/>
      <c r="E42" s="2"/>
      <c r="F42" s="2"/>
      <c r="G42" s="2"/>
      <c r="H42" s="2"/>
      <c r="I42" s="3"/>
    </row>
    <row r="43" ht="15.75" customHeight="1">
      <c r="A43" s="6" t="s">
        <v>500</v>
      </c>
      <c r="B43" s="6" t="s">
        <v>501</v>
      </c>
      <c r="C43" s="6" t="s">
        <v>502</v>
      </c>
      <c r="D43" s="6" t="s">
        <v>503</v>
      </c>
      <c r="E43" s="6" t="s">
        <v>504</v>
      </c>
      <c r="F43" s="6" t="s">
        <v>505</v>
      </c>
      <c r="G43" s="6" t="s">
        <v>506</v>
      </c>
      <c r="H43" s="6" t="s">
        <v>507</v>
      </c>
      <c r="I43" s="6" t="s">
        <v>52</v>
      </c>
    </row>
    <row r="44" ht="15.75" customHeight="1">
      <c r="A44" s="13" t="s">
        <v>508</v>
      </c>
      <c r="B44" s="47" t="s">
        <v>509</v>
      </c>
      <c r="C44" s="47">
        <v>5.0</v>
      </c>
      <c r="D44" s="48">
        <f>ROUND(Setup!C7*0.4/5,0)*5</f>
        <v>130</v>
      </c>
      <c r="E44" s="49"/>
      <c r="F44" s="49"/>
      <c r="G44" s="49"/>
      <c r="H44" s="49"/>
      <c r="I44" s="49"/>
    </row>
    <row r="45" ht="15.75" customHeight="1">
      <c r="A45" s="14" t="s">
        <v>508</v>
      </c>
      <c r="B45" s="50" t="s">
        <v>510</v>
      </c>
      <c r="C45" s="50">
        <v>5.0</v>
      </c>
      <c r="D45" s="51">
        <f>ROUND(Setup!C7*0.5/5,0)*5</f>
        <v>160</v>
      </c>
      <c r="E45" s="52"/>
      <c r="F45" s="52"/>
      <c r="G45" s="52"/>
      <c r="H45" s="52"/>
      <c r="I45" s="52"/>
    </row>
    <row r="46" ht="15.75" customHeight="1">
      <c r="A46" s="13" t="s">
        <v>508</v>
      </c>
      <c r="B46" s="47" t="s">
        <v>511</v>
      </c>
      <c r="C46" s="47">
        <v>3.0</v>
      </c>
      <c r="D46" s="48">
        <f>ROUND(Setup!C7*0.6/5,0)*5</f>
        <v>195</v>
      </c>
      <c r="E46" s="49"/>
      <c r="F46" s="49"/>
      <c r="G46" s="49"/>
      <c r="H46" s="49"/>
      <c r="I46" s="49"/>
    </row>
    <row r="47" ht="15.75" customHeight="1">
      <c r="A47" s="7" t="s">
        <v>19</v>
      </c>
      <c r="B47" s="49" t="s">
        <v>509</v>
      </c>
      <c r="C47" s="49">
        <f>IF($D$3=1,5,IF($D$3=2,3,IF($D$3=3,5,5)))</f>
        <v>5</v>
      </c>
      <c r="D47" s="9">
        <f>IF($D$3=1,ROUND(Setup!C7*0.65/5,0)*5,IF($D$3=2,ROUND(Setup!C7*0.7/5,0)*5,IF($D$3=3,ROUND(Setup!C7*0.75/5,0)*5,ROUND(Setup!C7*0.4/5,0)*5)))</f>
        <v>210</v>
      </c>
      <c r="E47" s="22"/>
      <c r="F47" s="43"/>
      <c r="G47" s="43"/>
      <c r="H47" s="49"/>
      <c r="I47" s="16"/>
    </row>
    <row r="48" ht="15.75" customHeight="1">
      <c r="A48" s="10" t="s">
        <v>19</v>
      </c>
      <c r="B48" s="52" t="s">
        <v>510</v>
      </c>
      <c r="C48" s="52">
        <f>IF($D$3=1,5,IF($D$3=2,3,IF($D$3=3,3,5)))</f>
        <v>5</v>
      </c>
      <c r="D48" s="11">
        <f>IF($D$3=1,ROUND(Setup!C7*0.75/5,0)*5,IF($D$3=2,ROUND(Setup!C7*0.8/5,0)*5,IF($D$3=3,ROUND(Setup!C7*0.85/5,0)*5,ROUND(Setup!C7*0.5/5,0)*5)))</f>
        <v>245</v>
      </c>
      <c r="E48" s="22"/>
      <c r="F48" s="43"/>
      <c r="G48" s="43"/>
      <c r="H48" s="52"/>
      <c r="I48" s="15"/>
    </row>
    <row r="49" ht="15.75" customHeight="1">
      <c r="A49" s="7" t="s">
        <v>19</v>
      </c>
      <c r="B49" s="49" t="s">
        <v>511</v>
      </c>
      <c r="C49" s="53" t="str">
        <f>IF($D$3=1,"5+",IF($D$3=2,"3+",IF($D$3=3,"1+","5")))</f>
        <v>5+</v>
      </c>
      <c r="D49" s="9">
        <f>IF($D$3=1,ROUND(Setup!C7*0.85/5,0)*5,IF($D$3=2,ROUND(Setup!C7*0.9/5,0)*5,IF($D$3=3,ROUND(Setup!C7*0.95/5,0)*5,ROUND(Setup!C7*0.6/5,0)*5)))</f>
        <v>275</v>
      </c>
      <c r="E49" s="22"/>
      <c r="F49" s="43"/>
      <c r="G49" s="43"/>
      <c r="H49" s="53" t="str">
        <f>IF(OR($D$3=1,$D$3=2,$D$3=3),"YES","")</f>
        <v>YES</v>
      </c>
      <c r="I49" s="16"/>
    </row>
    <row r="50" ht="15.75" customHeight="1">
      <c r="A50" s="16" t="s">
        <v>530</v>
      </c>
      <c r="B50" s="47" t="s">
        <v>513</v>
      </c>
      <c r="C50" s="47">
        <v>10.0</v>
      </c>
      <c r="D50" s="47">
        <f>IF($D$3="Deload","",ROUND(Setup!C7*IF($B$3&lt;=2,0.5,IF($B$3&lt;=4,0.55,0.6))/5,0)*5)</f>
        <v>160</v>
      </c>
      <c r="E50" s="22"/>
      <c r="F50" s="43"/>
      <c r="G50" s="49"/>
      <c r="H50" s="49"/>
      <c r="I50" s="49"/>
    </row>
    <row r="51" ht="15.75" customHeight="1">
      <c r="A51" s="15"/>
      <c r="B51" s="50" t="s">
        <v>514</v>
      </c>
      <c r="C51" s="50">
        <v>10.0</v>
      </c>
      <c r="D51" s="50">
        <f>IF($D$3="Deload","",ROUND(Setup!C7*IF($B$3&lt;=2,0.5,IF($B$3&lt;=4,0.55,0.6))/5,0)*5)</f>
        <v>160</v>
      </c>
      <c r="E51" s="22"/>
      <c r="F51" s="43"/>
      <c r="G51" s="52"/>
      <c r="H51" s="52"/>
      <c r="I51" s="52"/>
    </row>
    <row r="52" ht="15.75" customHeight="1">
      <c r="A52" s="16"/>
      <c r="B52" s="47" t="s">
        <v>515</v>
      </c>
      <c r="C52" s="47">
        <v>10.0</v>
      </c>
      <c r="D52" s="47">
        <f>IF($D$3="Deload","",ROUND(Setup!C7*IF($B$3&lt;=2,0.5,IF($B$3&lt;=4,0.55,0.6))/5,0)*5)</f>
        <v>160</v>
      </c>
      <c r="E52" s="22"/>
      <c r="F52" s="43"/>
      <c r="G52" s="49"/>
      <c r="H52" s="49"/>
      <c r="I52" s="49"/>
    </row>
    <row r="53" ht="15.75" customHeight="1">
      <c r="A53" s="15"/>
      <c r="B53" s="50" t="s">
        <v>516</v>
      </c>
      <c r="C53" s="50">
        <v>10.0</v>
      </c>
      <c r="D53" s="50">
        <f>IF($D$3="Deload","",ROUND(Setup!C7*IF($B$3&lt;=2,0.5,IF($B$3&lt;=4,0.55,0.6))/5,0)*5)</f>
        <v>160</v>
      </c>
      <c r="E53" s="22"/>
      <c r="F53" s="43"/>
      <c r="G53" s="52"/>
      <c r="H53" s="52"/>
      <c r="I53" s="52"/>
    </row>
    <row r="54" ht="15.75" customHeight="1">
      <c r="A54" s="16"/>
      <c r="B54" s="47" t="s">
        <v>517</v>
      </c>
      <c r="C54" s="47">
        <v>10.0</v>
      </c>
      <c r="D54" s="47">
        <f>IF($D$3="Deload","",ROUND(Setup!C7*IF($B$3&lt;=2,0.5,IF($B$3&lt;=4,0.55,0.6))/5,0)*5)</f>
        <v>160</v>
      </c>
      <c r="E54" s="22"/>
      <c r="F54" s="43"/>
      <c r="G54" s="49"/>
      <c r="H54" s="49"/>
      <c r="I54" s="49"/>
    </row>
    <row r="55" ht="15.75" customHeight="1">
      <c r="A55" s="54" t="s">
        <v>518</v>
      </c>
      <c r="B55" s="55"/>
      <c r="C55" s="55"/>
      <c r="D55" s="55"/>
      <c r="E55" s="55"/>
      <c r="F55" s="55"/>
      <c r="G55" s="55"/>
      <c r="H55" s="55"/>
      <c r="I55" s="55"/>
    </row>
    <row r="56" ht="15.75" customHeight="1">
      <c r="A56" s="56" t="s">
        <v>531</v>
      </c>
      <c r="B56" s="47"/>
      <c r="C56" s="49">
        <v>10.0</v>
      </c>
      <c r="D56" s="47" t="s">
        <v>520</v>
      </c>
      <c r="E56" s="22"/>
      <c r="F56" s="43"/>
      <c r="G56" s="49"/>
      <c r="H56" s="49"/>
      <c r="I56" s="49"/>
    </row>
    <row r="57" ht="15.75" customHeight="1">
      <c r="A57" s="58" t="s">
        <v>532</v>
      </c>
      <c r="B57" s="50"/>
      <c r="C57" s="59">
        <v>12.0</v>
      </c>
      <c r="D57" s="60" t="s">
        <v>533</v>
      </c>
      <c r="E57" s="22"/>
      <c r="F57" s="43"/>
      <c r="G57" s="52"/>
      <c r="H57" s="52"/>
      <c r="I57" s="52"/>
    </row>
    <row r="58" ht="15.75" customHeight="1">
      <c r="A58" s="56" t="s">
        <v>534</v>
      </c>
      <c r="B58" s="57"/>
      <c r="C58" s="49">
        <v>15.0</v>
      </c>
      <c r="D58" s="47" t="s">
        <v>522</v>
      </c>
      <c r="E58" s="22"/>
      <c r="F58" s="43"/>
      <c r="G58" s="49"/>
      <c r="H58" s="49"/>
      <c r="I58" s="49"/>
    </row>
    <row r="59" ht="15.75" customHeight="1">
      <c r="A59" s="15" t="s">
        <v>535</v>
      </c>
      <c r="B59" s="50"/>
      <c r="C59" s="52" t="s">
        <v>536</v>
      </c>
      <c r="D59" s="50" t="s">
        <v>537</v>
      </c>
      <c r="E59" s="22"/>
      <c r="F59" s="43"/>
      <c r="G59" s="52"/>
      <c r="H59" s="52"/>
      <c r="I59" s="52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0" customHeight="1">
      <c r="A61" s="46" t="s">
        <v>538</v>
      </c>
      <c r="B61" s="2"/>
      <c r="C61" s="2"/>
      <c r="D61" s="2"/>
      <c r="E61" s="2"/>
      <c r="F61" s="2"/>
      <c r="G61" s="2"/>
      <c r="H61" s="2"/>
      <c r="I61" s="3"/>
    </row>
    <row r="62" ht="15.75" customHeight="1">
      <c r="A62" s="6" t="s">
        <v>500</v>
      </c>
      <c r="B62" s="6" t="s">
        <v>501</v>
      </c>
      <c r="C62" s="6" t="s">
        <v>502</v>
      </c>
      <c r="D62" s="6" t="s">
        <v>503</v>
      </c>
      <c r="E62" s="6" t="s">
        <v>504</v>
      </c>
      <c r="F62" s="6" t="s">
        <v>505</v>
      </c>
      <c r="G62" s="6" t="s">
        <v>506</v>
      </c>
      <c r="H62" s="6" t="s">
        <v>507</v>
      </c>
      <c r="I62" s="6" t="s">
        <v>52</v>
      </c>
    </row>
    <row r="63" ht="15.75" customHeight="1">
      <c r="A63" s="13" t="s">
        <v>508</v>
      </c>
      <c r="B63" s="47" t="s">
        <v>509</v>
      </c>
      <c r="C63" s="47">
        <v>5.0</v>
      </c>
      <c r="D63" s="48">
        <f>ROUND(Setup!C8*0.4/5,0)*5</f>
        <v>50</v>
      </c>
      <c r="E63" s="49"/>
      <c r="F63" s="49"/>
      <c r="G63" s="49"/>
      <c r="H63" s="49"/>
      <c r="I63" s="49"/>
    </row>
    <row r="64" ht="15.75" customHeight="1">
      <c r="A64" s="14" t="s">
        <v>508</v>
      </c>
      <c r="B64" s="50" t="s">
        <v>510</v>
      </c>
      <c r="C64" s="50">
        <v>5.0</v>
      </c>
      <c r="D64" s="51">
        <f>ROUND(Setup!C8*0.5/5,0)*5</f>
        <v>65</v>
      </c>
      <c r="E64" s="52"/>
      <c r="F64" s="52"/>
      <c r="G64" s="52"/>
      <c r="H64" s="52"/>
      <c r="I64" s="52"/>
    </row>
    <row r="65" ht="15.75" customHeight="1">
      <c r="A65" s="13" t="s">
        <v>508</v>
      </c>
      <c r="B65" s="47" t="s">
        <v>511</v>
      </c>
      <c r="C65" s="47">
        <v>3.0</v>
      </c>
      <c r="D65" s="48">
        <f>ROUND(Setup!C8*0.6/5,0)*5</f>
        <v>80</v>
      </c>
      <c r="E65" s="49"/>
      <c r="F65" s="49"/>
      <c r="G65" s="49"/>
      <c r="H65" s="49"/>
      <c r="I65" s="49"/>
    </row>
    <row r="66" ht="15.75" customHeight="1">
      <c r="A66" s="7" t="s">
        <v>539</v>
      </c>
      <c r="B66" s="49" t="s">
        <v>509</v>
      </c>
      <c r="C66" s="49">
        <f>IF($D$3=1,5,IF($D$3=2,3,IF($D$3=3,5,5)))</f>
        <v>5</v>
      </c>
      <c r="D66" s="9">
        <f>IF($D$3=1,ROUND(Setup!C8*0.65/5,0)*5,IF($D$3=2,ROUND(Setup!C8*0.7/5,0)*5,IF($D$3=3,ROUND(Setup!C8*0.75/5,0)*5,ROUND(Setup!C8*0.4/5,0)*5)))</f>
        <v>85</v>
      </c>
      <c r="E66" s="22"/>
      <c r="F66" s="43"/>
      <c r="G66" s="43"/>
      <c r="H66" s="49"/>
      <c r="I66" s="16"/>
    </row>
    <row r="67" ht="15.75" customHeight="1">
      <c r="A67" s="10" t="s">
        <v>539</v>
      </c>
      <c r="B67" s="52" t="s">
        <v>510</v>
      </c>
      <c r="C67" s="52">
        <f>IF($D$3=1,5,IF($D$3=2,3,IF($D$3=3,3,5)))</f>
        <v>5</v>
      </c>
      <c r="D67" s="11">
        <f>IF($D$3=1,ROUND(Setup!C8*0.75/5,0)*5,IF($D$3=2,ROUND(Setup!C8*0.8/5,0)*5,IF($D$3=3,ROUND(Setup!C8*0.85/5,0)*5,ROUND(Setup!C8*0.5/5,0)*5)))</f>
        <v>100</v>
      </c>
      <c r="E67" s="22"/>
      <c r="F67" s="43"/>
      <c r="G67" s="43"/>
      <c r="H67" s="52"/>
      <c r="I67" s="15"/>
    </row>
    <row r="68" ht="15.75" customHeight="1">
      <c r="A68" s="7" t="s">
        <v>539</v>
      </c>
      <c r="B68" s="49" t="s">
        <v>511</v>
      </c>
      <c r="C68" s="53" t="str">
        <f>IF($D$3=1,"5+",IF($D$3=2,"3+",IF($D$3=3,"1+","5")))</f>
        <v>5+</v>
      </c>
      <c r="D68" s="9">
        <f>IF($D$3=1,ROUND(Setup!C8*0.85/5,0)*5,IF($D$3=2,ROUND(Setup!C8*0.9/5,0)*5,IF($D$3=3,ROUND(Setup!C8*0.95/5,0)*5,ROUND(Setup!C8*0.6/5,0)*5)))</f>
        <v>110</v>
      </c>
      <c r="E68" s="22"/>
      <c r="F68" s="43"/>
      <c r="G68" s="43"/>
      <c r="H68" s="53" t="str">
        <f>IF(OR($D$3=1,$D$3=2,$D$3=3),"YES","")</f>
        <v>YES</v>
      </c>
      <c r="I68" s="16"/>
    </row>
    <row r="69" ht="15.75" customHeight="1">
      <c r="A69" s="16" t="s">
        <v>540</v>
      </c>
      <c r="B69" s="47" t="s">
        <v>513</v>
      </c>
      <c r="C69" s="47">
        <v>10.0</v>
      </c>
      <c r="D69" s="47">
        <f>IF($D$3="Deload","",ROUND(Setup!C8*IF($B$3&lt;=2,0.5,IF($B$3&lt;=4,0.55,0.6))/5,0)*5)</f>
        <v>65</v>
      </c>
      <c r="E69" s="22"/>
      <c r="F69" s="43"/>
      <c r="G69" s="49"/>
      <c r="H69" s="49"/>
      <c r="I69" s="49"/>
    </row>
    <row r="70" ht="15.75" customHeight="1">
      <c r="A70" s="15"/>
      <c r="B70" s="50" t="s">
        <v>514</v>
      </c>
      <c r="C70" s="50">
        <v>10.0</v>
      </c>
      <c r="D70" s="50">
        <f>IF($D$3="Deload","",ROUND(Setup!C8*IF($B$3&lt;=2,0.5,IF($B$3&lt;=4,0.55,0.6))/5,0)*5)</f>
        <v>65</v>
      </c>
      <c r="E70" s="22"/>
      <c r="F70" s="43"/>
      <c r="G70" s="52"/>
      <c r="H70" s="52"/>
      <c r="I70" s="52"/>
    </row>
    <row r="71" ht="15.75" customHeight="1">
      <c r="A71" s="16"/>
      <c r="B71" s="47" t="s">
        <v>515</v>
      </c>
      <c r="C71" s="47">
        <v>10.0</v>
      </c>
      <c r="D71" s="47">
        <f>IF($D$3="Deload","",ROUND(Setup!C8*IF($B$3&lt;=2,0.5,IF($B$3&lt;=4,0.55,0.6))/5,0)*5)</f>
        <v>65</v>
      </c>
      <c r="E71" s="22"/>
      <c r="F71" s="43"/>
      <c r="G71" s="49"/>
      <c r="H71" s="49"/>
      <c r="I71" s="49"/>
    </row>
    <row r="72" ht="15.75" customHeight="1">
      <c r="A72" s="15"/>
      <c r="B72" s="50" t="s">
        <v>516</v>
      </c>
      <c r="C72" s="50">
        <v>10.0</v>
      </c>
      <c r="D72" s="50">
        <f>IF($D$3="Deload","",ROUND(Setup!C8*IF($B$3&lt;=2,0.5,IF($B$3&lt;=4,0.55,0.6))/5,0)*5)</f>
        <v>65</v>
      </c>
      <c r="E72" s="22"/>
      <c r="F72" s="43"/>
      <c r="G72" s="52"/>
      <c r="H72" s="52"/>
      <c r="I72" s="52"/>
    </row>
    <row r="73" ht="15.75" customHeight="1">
      <c r="A73" s="16"/>
      <c r="B73" s="47" t="s">
        <v>517</v>
      </c>
      <c r="C73" s="47">
        <v>10.0</v>
      </c>
      <c r="D73" s="47">
        <f>IF($D$3="Deload","",ROUND(Setup!C8*IF($B$3&lt;=2,0.5,IF($B$3&lt;=4,0.55,0.6))/5,0)*5)</f>
        <v>65</v>
      </c>
      <c r="E73" s="22"/>
      <c r="F73" s="43"/>
      <c r="G73" s="49"/>
      <c r="H73" s="49"/>
      <c r="I73" s="49"/>
    </row>
    <row r="74" ht="15.75" customHeight="1">
      <c r="A74" s="54" t="s">
        <v>518</v>
      </c>
      <c r="B74" s="55"/>
      <c r="C74" s="55"/>
      <c r="D74" s="55"/>
      <c r="E74" s="55"/>
      <c r="F74" s="55"/>
      <c r="G74" s="55"/>
      <c r="H74" s="55"/>
      <c r="I74" s="55"/>
    </row>
    <row r="75" ht="15.75" customHeight="1">
      <c r="A75" s="16" t="s">
        <v>541</v>
      </c>
      <c r="B75" s="47"/>
      <c r="C75" s="49">
        <v>10.0</v>
      </c>
      <c r="D75" s="47" t="s">
        <v>520</v>
      </c>
      <c r="E75" s="22"/>
      <c r="F75" s="43"/>
      <c r="G75" s="49"/>
      <c r="H75" s="49"/>
      <c r="I75" s="49"/>
    </row>
    <row r="76" ht="15.75" customHeight="1">
      <c r="A76" s="56" t="s">
        <v>542</v>
      </c>
      <c r="B76" s="47"/>
      <c r="C76" s="61">
        <v>10.0</v>
      </c>
      <c r="D76" s="57" t="s">
        <v>520</v>
      </c>
      <c r="E76" s="22"/>
      <c r="F76" s="43"/>
      <c r="G76" s="49"/>
      <c r="H76" s="49"/>
      <c r="I76" s="49"/>
    </row>
    <row r="77" ht="15.75" customHeight="1">
      <c r="A77" s="58" t="s">
        <v>543</v>
      </c>
      <c r="B77" s="50"/>
      <c r="C77" s="61">
        <v>10.0</v>
      </c>
      <c r="D77" s="57" t="s">
        <v>544</v>
      </c>
      <c r="E77" s="22"/>
      <c r="F77" s="43"/>
      <c r="G77" s="52"/>
      <c r="H77" s="52"/>
      <c r="I77" s="52"/>
    </row>
    <row r="78" ht="15.75" customHeight="1">
      <c r="A78" s="58" t="s">
        <v>545</v>
      </c>
      <c r="B78" s="50"/>
      <c r="C78" s="59">
        <v>10.0</v>
      </c>
      <c r="D78" s="60" t="s">
        <v>546</v>
      </c>
      <c r="E78" s="22"/>
      <c r="F78" s="43"/>
      <c r="G78" s="52"/>
      <c r="H78" s="52"/>
      <c r="I78" s="52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28" t="s">
        <v>547</v>
      </c>
      <c r="B80" s="4"/>
      <c r="C80" s="4"/>
      <c r="D80" s="4"/>
      <c r="E80" s="4"/>
      <c r="F80" s="4"/>
      <c r="G80" s="4"/>
      <c r="H80" s="4"/>
      <c r="I80" s="4"/>
    </row>
    <row r="81" ht="49.5" customHeight="1">
      <c r="A81" s="62"/>
      <c r="B81" s="63"/>
      <c r="C81" s="63"/>
      <c r="D81" s="63"/>
      <c r="E81" s="63"/>
      <c r="F81" s="63"/>
      <c r="G81" s="63"/>
      <c r="H81" s="63"/>
      <c r="I81" s="64"/>
    </row>
    <row r="82" ht="15.75" customHeight="1">
      <c r="A82" s="65"/>
      <c r="B82" s="66"/>
      <c r="C82" s="66"/>
      <c r="D82" s="66"/>
      <c r="E82" s="66"/>
      <c r="F82" s="66"/>
      <c r="G82" s="66"/>
      <c r="H82" s="66"/>
      <c r="I82" s="6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7">
    <mergeCell ref="A1:I1"/>
    <mergeCell ref="A4:I4"/>
    <mergeCell ref="A6:I6"/>
    <mergeCell ref="A24:I24"/>
    <mergeCell ref="A42:I42"/>
    <mergeCell ref="A61:I61"/>
    <mergeCell ref="A81:I82"/>
  </mergeCells>
  <dataValidations>
    <dataValidation type="list" allowBlank="1" sqref="D3">
      <formula1>"1,2,3,Deload"</formula1>
    </dataValidation>
  </dataValidations>
  <printOptions/>
  <pageMargins bottom="1.0" footer="0.0" header="0.0" left="0.75" right="0.75" top="0.1327967806841046"/>
  <pageSetup paperSize="3" scale="8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4.57"/>
    <col customWidth="1" min="3" max="3" width="16.0"/>
    <col customWidth="1" min="4" max="7" width="14.0"/>
    <col customWidth="1" min="8" max="8" width="16.0"/>
    <col customWidth="1" min="9" max="9" width="20.0"/>
    <col customWidth="1" min="10" max="26" width="8.71"/>
  </cols>
  <sheetData>
    <row r="1" ht="19.5" customHeight="1">
      <c r="A1" s="1" t="s">
        <v>548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 ht="15.0" customHeight="1">
      <c r="A3" s="5" t="s">
        <v>549</v>
      </c>
      <c r="B3" s="2"/>
      <c r="C3" s="2"/>
      <c r="D3" s="2"/>
      <c r="E3" s="2"/>
      <c r="F3" s="2"/>
      <c r="G3" s="2"/>
      <c r="H3" s="2"/>
      <c r="I3" s="3"/>
    </row>
    <row r="4">
      <c r="A4" s="6" t="s">
        <v>550</v>
      </c>
      <c r="B4" s="6" t="s">
        <v>551</v>
      </c>
      <c r="C4" s="6" t="s">
        <v>552</v>
      </c>
      <c r="D4" s="6" t="s">
        <v>553</v>
      </c>
      <c r="E4" s="6" t="s">
        <v>554</v>
      </c>
      <c r="F4" s="6" t="s">
        <v>555</v>
      </c>
      <c r="G4" s="6" t="s">
        <v>556</v>
      </c>
      <c r="H4" s="6" t="s">
        <v>557</v>
      </c>
      <c r="I4" s="6" t="s">
        <v>52</v>
      </c>
    </row>
    <row r="5">
      <c r="A5" s="45">
        <v>46120.0</v>
      </c>
      <c r="B5" s="44" t="s">
        <v>558</v>
      </c>
      <c r="C5" s="44" t="s">
        <v>30</v>
      </c>
      <c r="D5" s="22"/>
      <c r="E5" s="8" t="s">
        <v>559</v>
      </c>
      <c r="F5" s="22"/>
      <c r="G5" s="22"/>
      <c r="H5" s="43"/>
      <c r="I5" s="16"/>
    </row>
    <row r="6">
      <c r="A6" s="45">
        <f t="shared" ref="A6:A24" si="1">A5+7</f>
        <v>46127</v>
      </c>
      <c r="B6" s="44" t="s">
        <v>558</v>
      </c>
      <c r="C6" s="44" t="s">
        <v>30</v>
      </c>
      <c r="D6" s="22"/>
      <c r="E6" s="8" t="s">
        <v>559</v>
      </c>
      <c r="F6" s="22"/>
      <c r="G6" s="22"/>
      <c r="H6" s="43"/>
      <c r="I6" s="15"/>
    </row>
    <row r="7">
      <c r="A7" s="45">
        <f t="shared" si="1"/>
        <v>46134</v>
      </c>
      <c r="B7" s="44" t="s">
        <v>558</v>
      </c>
      <c r="C7" s="44" t="s">
        <v>30</v>
      </c>
      <c r="D7" s="22"/>
      <c r="E7" s="8" t="s">
        <v>559</v>
      </c>
      <c r="F7" s="22"/>
      <c r="G7" s="22"/>
      <c r="H7" s="43"/>
      <c r="I7" s="16"/>
    </row>
    <row r="8">
      <c r="A8" s="45">
        <f t="shared" si="1"/>
        <v>46141</v>
      </c>
      <c r="B8" s="44" t="s">
        <v>558</v>
      </c>
      <c r="C8" s="44" t="s">
        <v>560</v>
      </c>
      <c r="D8" s="22"/>
      <c r="E8" s="8" t="s">
        <v>559</v>
      </c>
      <c r="F8" s="22"/>
      <c r="G8" s="22"/>
      <c r="H8" s="43"/>
      <c r="I8" s="15"/>
    </row>
    <row r="9">
      <c r="A9" s="45">
        <f t="shared" si="1"/>
        <v>46148</v>
      </c>
      <c r="B9" s="44" t="s">
        <v>558</v>
      </c>
      <c r="C9" s="44" t="s">
        <v>30</v>
      </c>
      <c r="D9" s="22"/>
      <c r="E9" s="8" t="s">
        <v>559</v>
      </c>
      <c r="F9" s="22"/>
      <c r="G9" s="22"/>
      <c r="H9" s="43"/>
      <c r="I9" s="16"/>
    </row>
    <row r="10">
      <c r="A10" s="45">
        <f t="shared" si="1"/>
        <v>46155</v>
      </c>
      <c r="B10" s="44" t="s">
        <v>558</v>
      </c>
      <c r="C10" s="44" t="s">
        <v>30</v>
      </c>
      <c r="D10" s="22"/>
      <c r="E10" s="8" t="s">
        <v>559</v>
      </c>
      <c r="F10" s="22"/>
      <c r="G10" s="22"/>
      <c r="H10" s="43"/>
      <c r="I10" s="15"/>
    </row>
    <row r="11">
      <c r="A11" s="45">
        <f t="shared" si="1"/>
        <v>46162</v>
      </c>
      <c r="B11" s="44" t="s">
        <v>558</v>
      </c>
      <c r="C11" s="44" t="s">
        <v>30</v>
      </c>
      <c r="D11" s="22"/>
      <c r="E11" s="8" t="s">
        <v>559</v>
      </c>
      <c r="F11" s="22"/>
      <c r="G11" s="22"/>
      <c r="H11" s="43"/>
      <c r="I11" s="16"/>
    </row>
    <row r="12">
      <c r="A12" s="45">
        <f t="shared" si="1"/>
        <v>46169</v>
      </c>
      <c r="B12" s="44" t="s">
        <v>558</v>
      </c>
      <c r="C12" s="44" t="s">
        <v>560</v>
      </c>
      <c r="D12" s="22"/>
      <c r="E12" s="8" t="s">
        <v>559</v>
      </c>
      <c r="F12" s="22"/>
      <c r="G12" s="22"/>
      <c r="H12" s="43"/>
      <c r="I12" s="15"/>
    </row>
    <row r="13">
      <c r="A13" s="45">
        <f t="shared" si="1"/>
        <v>46176</v>
      </c>
      <c r="B13" s="44" t="s">
        <v>561</v>
      </c>
      <c r="C13" s="44" t="s">
        <v>562</v>
      </c>
      <c r="D13" s="22"/>
      <c r="E13" s="22"/>
      <c r="F13" s="22"/>
      <c r="G13" s="22"/>
      <c r="H13" s="43"/>
      <c r="I13" s="16"/>
    </row>
    <row r="14">
      <c r="A14" s="45">
        <f t="shared" si="1"/>
        <v>46183</v>
      </c>
      <c r="B14" s="44" t="s">
        <v>561</v>
      </c>
      <c r="C14" s="44" t="s">
        <v>562</v>
      </c>
      <c r="D14" s="22"/>
      <c r="E14" s="22"/>
      <c r="F14" s="22"/>
      <c r="G14" s="22"/>
      <c r="H14" s="43"/>
      <c r="I14" s="15"/>
    </row>
    <row r="15">
      <c r="A15" s="45">
        <f t="shared" si="1"/>
        <v>46190</v>
      </c>
      <c r="B15" s="44" t="s">
        <v>561</v>
      </c>
      <c r="C15" s="44" t="s">
        <v>562</v>
      </c>
      <c r="D15" s="22"/>
      <c r="E15" s="22"/>
      <c r="F15" s="22"/>
      <c r="G15" s="22"/>
      <c r="H15" s="43"/>
      <c r="I15" s="16"/>
    </row>
    <row r="16">
      <c r="A16" s="45">
        <f t="shared" si="1"/>
        <v>46197</v>
      </c>
      <c r="B16" s="44" t="s">
        <v>561</v>
      </c>
      <c r="C16" s="44" t="s">
        <v>560</v>
      </c>
      <c r="D16" s="22"/>
      <c r="E16" s="8" t="s">
        <v>559</v>
      </c>
      <c r="F16" s="22"/>
      <c r="G16" s="22"/>
      <c r="H16" s="43"/>
      <c r="I16" s="15"/>
    </row>
    <row r="17">
      <c r="A17" s="45">
        <f t="shared" si="1"/>
        <v>46204</v>
      </c>
      <c r="B17" s="44" t="s">
        <v>561</v>
      </c>
      <c r="C17" s="44" t="s">
        <v>562</v>
      </c>
      <c r="D17" s="22"/>
      <c r="E17" s="22"/>
      <c r="F17" s="22"/>
      <c r="G17" s="22"/>
      <c r="H17" s="43"/>
      <c r="I17" s="16"/>
    </row>
    <row r="18">
      <c r="A18" s="45">
        <f t="shared" si="1"/>
        <v>46211</v>
      </c>
      <c r="B18" s="44" t="s">
        <v>561</v>
      </c>
      <c r="C18" s="44" t="s">
        <v>562</v>
      </c>
      <c r="D18" s="22"/>
      <c r="E18" s="22"/>
      <c r="F18" s="22"/>
      <c r="G18" s="22"/>
      <c r="H18" s="43"/>
      <c r="I18" s="15"/>
    </row>
    <row r="19">
      <c r="A19" s="45">
        <f t="shared" si="1"/>
        <v>46218</v>
      </c>
      <c r="B19" s="44" t="s">
        <v>561</v>
      </c>
      <c r="C19" s="44" t="s">
        <v>562</v>
      </c>
      <c r="D19" s="22"/>
      <c r="E19" s="22"/>
      <c r="F19" s="22"/>
      <c r="G19" s="22"/>
      <c r="H19" s="43"/>
      <c r="I19" s="16"/>
    </row>
    <row r="20">
      <c r="A20" s="45">
        <f t="shared" si="1"/>
        <v>46225</v>
      </c>
      <c r="B20" s="44" t="s">
        <v>561</v>
      </c>
      <c r="C20" s="44" t="s">
        <v>560</v>
      </c>
      <c r="D20" s="22"/>
      <c r="E20" s="8" t="s">
        <v>559</v>
      </c>
      <c r="F20" s="22"/>
      <c r="G20" s="22"/>
      <c r="H20" s="43"/>
      <c r="I20" s="15"/>
    </row>
    <row r="21" ht="15.75" customHeight="1">
      <c r="A21" s="45">
        <f t="shared" si="1"/>
        <v>46232</v>
      </c>
      <c r="B21" s="44" t="s">
        <v>558</v>
      </c>
      <c r="C21" s="44" t="s">
        <v>30</v>
      </c>
      <c r="D21" s="22"/>
      <c r="E21" s="8" t="s">
        <v>559</v>
      </c>
      <c r="F21" s="22"/>
      <c r="G21" s="22"/>
      <c r="H21" s="43"/>
      <c r="I21" s="16"/>
    </row>
    <row r="22" ht="15.75" customHeight="1">
      <c r="A22" s="45">
        <f t="shared" si="1"/>
        <v>46239</v>
      </c>
      <c r="B22" s="44" t="s">
        <v>558</v>
      </c>
      <c r="C22" s="44" t="s">
        <v>30</v>
      </c>
      <c r="D22" s="22"/>
      <c r="E22" s="8" t="s">
        <v>559</v>
      </c>
      <c r="F22" s="22"/>
      <c r="G22" s="22"/>
      <c r="H22" s="43"/>
      <c r="I22" s="15"/>
    </row>
    <row r="23" ht="15.75" customHeight="1">
      <c r="A23" s="45">
        <f t="shared" si="1"/>
        <v>46246</v>
      </c>
      <c r="B23" s="44" t="s">
        <v>558</v>
      </c>
      <c r="C23" s="44" t="s">
        <v>30</v>
      </c>
      <c r="D23" s="22"/>
      <c r="E23" s="8" t="s">
        <v>559</v>
      </c>
      <c r="F23" s="22"/>
      <c r="G23" s="22"/>
      <c r="H23" s="43"/>
      <c r="I23" s="16"/>
    </row>
    <row r="24" ht="15.75" customHeight="1">
      <c r="A24" s="45">
        <f t="shared" si="1"/>
        <v>46253</v>
      </c>
      <c r="B24" s="44" t="s">
        <v>558</v>
      </c>
      <c r="C24" s="44" t="s">
        <v>560</v>
      </c>
      <c r="D24" s="22"/>
      <c r="E24" s="8" t="s">
        <v>559</v>
      </c>
      <c r="F24" s="22"/>
      <c r="G24" s="22"/>
      <c r="H24" s="43"/>
      <c r="I24" s="15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0" customHeight="1">
      <c r="A27" s="5" t="s">
        <v>563</v>
      </c>
      <c r="B27" s="2"/>
      <c r="C27" s="2"/>
      <c r="D27" s="2"/>
      <c r="E27" s="2"/>
      <c r="F27" s="2"/>
      <c r="G27" s="2"/>
      <c r="H27" s="2"/>
      <c r="I27" s="3"/>
    </row>
    <row r="28" ht="15.75" customHeight="1">
      <c r="A28" s="6" t="s">
        <v>550</v>
      </c>
      <c r="B28" s="6" t="s">
        <v>564</v>
      </c>
      <c r="C28" s="6" t="s">
        <v>553</v>
      </c>
      <c r="D28" s="6" t="s">
        <v>556</v>
      </c>
      <c r="E28" s="6" t="s">
        <v>555</v>
      </c>
      <c r="F28" s="6" t="s">
        <v>565</v>
      </c>
      <c r="G28" s="6" t="s">
        <v>557</v>
      </c>
      <c r="H28" s="6" t="s">
        <v>566</v>
      </c>
      <c r="I28" s="6" t="s">
        <v>52</v>
      </c>
    </row>
    <row r="29" ht="15.75" customHeight="1">
      <c r="A29" s="45">
        <v>46123.0</v>
      </c>
      <c r="B29" s="44" t="s">
        <v>567</v>
      </c>
      <c r="C29" s="22"/>
      <c r="D29" s="22"/>
      <c r="E29" s="22"/>
      <c r="F29" s="22"/>
      <c r="G29" s="43"/>
      <c r="H29" s="22"/>
      <c r="I29" s="16"/>
    </row>
    <row r="30" ht="15.75" customHeight="1">
      <c r="A30" s="68">
        <f t="shared" ref="A30:A48" si="2">A29+7</f>
        <v>46130</v>
      </c>
      <c r="B30" s="44" t="s">
        <v>567</v>
      </c>
      <c r="C30" s="22"/>
      <c r="D30" s="22"/>
      <c r="E30" s="22"/>
      <c r="F30" s="22"/>
      <c r="G30" s="43"/>
      <c r="H30" s="22"/>
      <c r="I30" s="15"/>
    </row>
    <row r="31" ht="15.75" customHeight="1">
      <c r="A31" s="68">
        <f t="shared" si="2"/>
        <v>46137</v>
      </c>
      <c r="B31" s="44" t="s">
        <v>567</v>
      </c>
      <c r="C31" s="22"/>
      <c r="D31" s="22"/>
      <c r="E31" s="22"/>
      <c r="F31" s="22"/>
      <c r="G31" s="43"/>
      <c r="H31" s="22"/>
      <c r="I31" s="16"/>
    </row>
    <row r="32" ht="15.75" customHeight="1">
      <c r="A32" s="68">
        <f t="shared" si="2"/>
        <v>46144</v>
      </c>
      <c r="B32" s="44" t="s">
        <v>568</v>
      </c>
      <c r="C32" s="22"/>
      <c r="D32" s="22"/>
      <c r="E32" s="22"/>
      <c r="F32" s="22"/>
      <c r="G32" s="43"/>
      <c r="H32" s="22"/>
      <c r="I32" s="15"/>
    </row>
    <row r="33" ht="15.75" customHeight="1">
      <c r="A33" s="68">
        <f t="shared" si="2"/>
        <v>46151</v>
      </c>
      <c r="B33" s="44" t="s">
        <v>567</v>
      </c>
      <c r="C33" s="22"/>
      <c r="D33" s="22"/>
      <c r="E33" s="22"/>
      <c r="F33" s="22"/>
      <c r="G33" s="43"/>
      <c r="H33" s="22"/>
      <c r="I33" s="16"/>
    </row>
    <row r="34" ht="15.75" customHeight="1">
      <c r="A34" s="68">
        <f t="shared" si="2"/>
        <v>46158</v>
      </c>
      <c r="B34" s="44" t="s">
        <v>567</v>
      </c>
      <c r="C34" s="22"/>
      <c r="D34" s="22"/>
      <c r="E34" s="22"/>
      <c r="F34" s="22"/>
      <c r="G34" s="43"/>
      <c r="H34" s="22"/>
      <c r="I34" s="15"/>
    </row>
    <row r="35" ht="15.75" customHeight="1">
      <c r="A35" s="68">
        <f t="shared" si="2"/>
        <v>46165</v>
      </c>
      <c r="B35" s="44" t="s">
        <v>567</v>
      </c>
      <c r="C35" s="22"/>
      <c r="D35" s="22"/>
      <c r="E35" s="22"/>
      <c r="F35" s="22"/>
      <c r="G35" s="43"/>
      <c r="H35" s="22"/>
      <c r="I35" s="16"/>
    </row>
    <row r="36" ht="15.75" customHeight="1">
      <c r="A36" s="68">
        <f t="shared" si="2"/>
        <v>46172</v>
      </c>
      <c r="B36" s="44" t="s">
        <v>568</v>
      </c>
      <c r="C36" s="22"/>
      <c r="D36" s="22"/>
      <c r="E36" s="22"/>
      <c r="F36" s="22"/>
      <c r="G36" s="43"/>
      <c r="H36" s="22"/>
      <c r="I36" s="15"/>
    </row>
    <row r="37" ht="15.75" customHeight="1">
      <c r="A37" s="68">
        <f t="shared" si="2"/>
        <v>46179</v>
      </c>
      <c r="B37" s="44" t="s">
        <v>567</v>
      </c>
      <c r="C37" s="22"/>
      <c r="D37" s="22"/>
      <c r="E37" s="22"/>
      <c r="F37" s="22"/>
      <c r="G37" s="43"/>
      <c r="H37" s="22"/>
      <c r="I37" s="16"/>
    </row>
    <row r="38" ht="15.75" customHeight="1">
      <c r="A38" s="68">
        <f t="shared" si="2"/>
        <v>46186</v>
      </c>
      <c r="B38" s="44" t="s">
        <v>567</v>
      </c>
      <c r="C38" s="22"/>
      <c r="D38" s="22"/>
      <c r="E38" s="22"/>
      <c r="F38" s="22"/>
      <c r="G38" s="43"/>
      <c r="H38" s="22"/>
      <c r="I38" s="15"/>
    </row>
    <row r="39" ht="15.75" customHeight="1">
      <c r="A39" s="68">
        <f t="shared" si="2"/>
        <v>46193</v>
      </c>
      <c r="B39" s="44" t="s">
        <v>567</v>
      </c>
      <c r="C39" s="22"/>
      <c r="D39" s="22"/>
      <c r="E39" s="22"/>
      <c r="F39" s="22"/>
      <c r="G39" s="43"/>
      <c r="H39" s="22"/>
      <c r="I39" s="16"/>
    </row>
    <row r="40" ht="15.75" customHeight="1">
      <c r="A40" s="68">
        <f t="shared" si="2"/>
        <v>46200</v>
      </c>
      <c r="B40" s="44" t="s">
        <v>568</v>
      </c>
      <c r="C40" s="22"/>
      <c r="D40" s="22"/>
      <c r="E40" s="22"/>
      <c r="F40" s="22"/>
      <c r="G40" s="43"/>
      <c r="H40" s="22"/>
      <c r="I40" s="15"/>
    </row>
    <row r="41" ht="15.75" customHeight="1">
      <c r="A41" s="68">
        <f t="shared" si="2"/>
        <v>46207</v>
      </c>
      <c r="B41" s="44" t="s">
        <v>567</v>
      </c>
      <c r="C41" s="22"/>
      <c r="D41" s="22"/>
      <c r="E41" s="22"/>
      <c r="F41" s="22"/>
      <c r="G41" s="43"/>
      <c r="H41" s="22"/>
      <c r="I41" s="16"/>
    </row>
    <row r="42" ht="15.75" customHeight="1">
      <c r="A42" s="68">
        <f t="shared" si="2"/>
        <v>46214</v>
      </c>
      <c r="B42" s="44" t="s">
        <v>567</v>
      </c>
      <c r="C42" s="22"/>
      <c r="D42" s="22"/>
      <c r="E42" s="22"/>
      <c r="F42" s="22"/>
      <c r="G42" s="43"/>
      <c r="H42" s="22"/>
      <c r="I42" s="15"/>
    </row>
    <row r="43" ht="15.75" customHeight="1">
      <c r="A43" s="68">
        <f t="shared" si="2"/>
        <v>46221</v>
      </c>
      <c r="B43" s="44" t="s">
        <v>567</v>
      </c>
      <c r="C43" s="22"/>
      <c r="D43" s="22"/>
      <c r="E43" s="22"/>
      <c r="F43" s="22"/>
      <c r="G43" s="43"/>
      <c r="H43" s="22"/>
      <c r="I43" s="16"/>
    </row>
    <row r="44" ht="15.75" customHeight="1">
      <c r="A44" s="68">
        <f t="shared" si="2"/>
        <v>46228</v>
      </c>
      <c r="B44" s="44" t="s">
        <v>568</v>
      </c>
      <c r="C44" s="22"/>
      <c r="D44" s="22"/>
      <c r="E44" s="22"/>
      <c r="F44" s="22"/>
      <c r="G44" s="43"/>
      <c r="H44" s="22"/>
      <c r="I44" s="15"/>
    </row>
    <row r="45" ht="15.75" customHeight="1">
      <c r="A45" s="68">
        <f t="shared" si="2"/>
        <v>46235</v>
      </c>
      <c r="B45" s="44" t="s">
        <v>567</v>
      </c>
      <c r="C45" s="22"/>
      <c r="D45" s="22"/>
      <c r="E45" s="22"/>
      <c r="F45" s="22"/>
      <c r="G45" s="43"/>
      <c r="H45" s="22"/>
      <c r="I45" s="16"/>
    </row>
    <row r="46" ht="15.75" customHeight="1">
      <c r="A46" s="68">
        <f t="shared" si="2"/>
        <v>46242</v>
      </c>
      <c r="B46" s="44" t="s">
        <v>567</v>
      </c>
      <c r="C46" s="22"/>
      <c r="D46" s="22"/>
      <c r="E46" s="22"/>
      <c r="F46" s="22"/>
      <c r="G46" s="43"/>
      <c r="H46" s="22"/>
      <c r="I46" s="15"/>
    </row>
    <row r="47" ht="15.75" customHeight="1">
      <c r="A47" s="68">
        <f t="shared" si="2"/>
        <v>46249</v>
      </c>
      <c r="B47" s="44" t="s">
        <v>567</v>
      </c>
      <c r="C47" s="22"/>
      <c r="D47" s="22"/>
      <c r="E47" s="22"/>
      <c r="F47" s="22"/>
      <c r="G47" s="43"/>
      <c r="H47" s="22"/>
      <c r="I47" s="16"/>
    </row>
    <row r="48" ht="15.75" customHeight="1">
      <c r="A48" s="68">
        <f t="shared" si="2"/>
        <v>46256</v>
      </c>
      <c r="B48" s="44" t="s">
        <v>568</v>
      </c>
      <c r="C48" s="22"/>
      <c r="D48" s="22"/>
      <c r="E48" s="22"/>
      <c r="F48" s="22"/>
      <c r="G48" s="43"/>
      <c r="H48" s="22"/>
      <c r="I48" s="1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:I3"/>
    <mergeCell ref="A27:I27"/>
  </mergeCells>
  <dataValidations>
    <dataValidation type="list" allowBlank="1" sqref="H5:H24 G29:G48">
      <formula1>"1,2,3,4,5"</formula1>
    </dataValidation>
    <dataValidation type="list" allowBlank="1" sqref="C5:C24">
      <formula1>"Zone 2,VO2 Max Intervals,Deload Ride"</formula1>
    </dataValidation>
    <dataValidation type="list" allowBlank="1" sqref="B5:B24">
      <formula1>"Base,Intensity"</formula1>
    </dataValidation>
    <dataValidation type="list" allowBlank="1" sqref="B29:B48">
      <formula1>"Zone 2 Long,Tempo,Deload Easy"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38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1" width="14.0"/>
    <col customWidth="1" min="12" max="26" width="8.71"/>
  </cols>
  <sheetData>
    <row r="1" ht="19.5" customHeight="1">
      <c r="A1" s="1" t="s">
        <v>569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5.0" customHeight="1">
      <c r="A3" s="5" t="s">
        <v>570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64</v>
      </c>
      <c r="B4" s="6" t="s">
        <v>550</v>
      </c>
      <c r="C4" s="6" t="s">
        <v>571</v>
      </c>
      <c r="D4" s="6" t="s">
        <v>572</v>
      </c>
      <c r="E4" s="6" t="s">
        <v>573</v>
      </c>
      <c r="F4" s="6" t="s">
        <v>574</v>
      </c>
      <c r="G4" s="6" t="s">
        <v>575</v>
      </c>
      <c r="H4" s="6" t="s">
        <v>576</v>
      </c>
      <c r="I4" s="6" t="s">
        <v>577</v>
      </c>
      <c r="J4" s="6" t="s">
        <v>578</v>
      </c>
      <c r="K4" s="6" t="s">
        <v>579</v>
      </c>
    </row>
    <row r="5">
      <c r="A5" s="49">
        <v>1.0</v>
      </c>
      <c r="B5" s="68"/>
      <c r="C5" s="22"/>
      <c r="D5" s="43"/>
      <c r="E5" s="69" t="str">
        <f t="shared" ref="E5:E20" si="1">IF(OR(C5="",D5=""),"",ROUND(C5*(1+D5*0.0333),0))</f>
        <v/>
      </c>
      <c r="F5" s="22"/>
      <c r="G5" s="43"/>
      <c r="H5" s="69" t="str">
        <f t="shared" ref="H5:H20" si="2">IF(OR(F5="",G5=""),"",ROUND(F5*(1+G5*0.0333),0))</f>
        <v/>
      </c>
      <c r="I5" s="22"/>
      <c r="J5" s="43"/>
      <c r="K5" s="69" t="str">
        <f t="shared" ref="K5:K20" si="3">IF(OR(I5="",J5=""),"",ROUND(I5*(1+J5*0.0333),0))</f>
        <v/>
      </c>
    </row>
    <row r="6">
      <c r="A6" s="52">
        <v>2.0</v>
      </c>
      <c r="B6" s="68"/>
      <c r="C6" s="22"/>
      <c r="D6" s="43"/>
      <c r="E6" s="70" t="str">
        <f t="shared" si="1"/>
        <v/>
      </c>
      <c r="F6" s="22"/>
      <c r="G6" s="43"/>
      <c r="H6" s="70" t="str">
        <f t="shared" si="2"/>
        <v/>
      </c>
      <c r="I6" s="22"/>
      <c r="J6" s="43"/>
      <c r="K6" s="70" t="str">
        <f t="shared" si="3"/>
        <v/>
      </c>
    </row>
    <row r="7">
      <c r="A7" s="49">
        <v>3.0</v>
      </c>
      <c r="B7" s="68"/>
      <c r="C7" s="22"/>
      <c r="D7" s="43"/>
      <c r="E7" s="69" t="str">
        <f t="shared" si="1"/>
        <v/>
      </c>
      <c r="F7" s="22"/>
      <c r="G7" s="43"/>
      <c r="H7" s="69" t="str">
        <f t="shared" si="2"/>
        <v/>
      </c>
      <c r="I7" s="22"/>
      <c r="J7" s="43"/>
      <c r="K7" s="69" t="str">
        <f t="shared" si="3"/>
        <v/>
      </c>
    </row>
    <row r="8">
      <c r="A8" s="52">
        <v>4.0</v>
      </c>
      <c r="B8" s="68"/>
      <c r="C8" s="22"/>
      <c r="D8" s="43"/>
      <c r="E8" s="70" t="str">
        <f t="shared" si="1"/>
        <v/>
      </c>
      <c r="F8" s="22"/>
      <c r="G8" s="43"/>
      <c r="H8" s="70" t="str">
        <f t="shared" si="2"/>
        <v/>
      </c>
      <c r="I8" s="22"/>
      <c r="J8" s="43"/>
      <c r="K8" s="70" t="str">
        <f t="shared" si="3"/>
        <v/>
      </c>
    </row>
    <row r="9">
      <c r="A9" s="49">
        <v>5.0</v>
      </c>
      <c r="B9" s="68"/>
      <c r="C9" s="22"/>
      <c r="D9" s="43"/>
      <c r="E9" s="69" t="str">
        <f t="shared" si="1"/>
        <v/>
      </c>
      <c r="F9" s="22"/>
      <c r="G9" s="43"/>
      <c r="H9" s="69" t="str">
        <f t="shared" si="2"/>
        <v/>
      </c>
      <c r="I9" s="22"/>
      <c r="J9" s="43"/>
      <c r="K9" s="69" t="str">
        <f t="shared" si="3"/>
        <v/>
      </c>
    </row>
    <row r="10">
      <c r="A10" s="52">
        <v>6.0</v>
      </c>
      <c r="B10" s="68"/>
      <c r="C10" s="22"/>
      <c r="D10" s="43"/>
      <c r="E10" s="70" t="str">
        <f t="shared" si="1"/>
        <v/>
      </c>
      <c r="F10" s="22"/>
      <c r="G10" s="43"/>
      <c r="H10" s="70" t="str">
        <f t="shared" si="2"/>
        <v/>
      </c>
      <c r="I10" s="22"/>
      <c r="J10" s="43"/>
      <c r="K10" s="70" t="str">
        <f t="shared" si="3"/>
        <v/>
      </c>
    </row>
    <row r="11">
      <c r="A11" s="49">
        <v>7.0</v>
      </c>
      <c r="B11" s="68"/>
      <c r="C11" s="22"/>
      <c r="D11" s="43"/>
      <c r="E11" s="69" t="str">
        <f t="shared" si="1"/>
        <v/>
      </c>
      <c r="F11" s="22"/>
      <c r="G11" s="43"/>
      <c r="H11" s="69" t="str">
        <f t="shared" si="2"/>
        <v/>
      </c>
      <c r="I11" s="22"/>
      <c r="J11" s="43"/>
      <c r="K11" s="69" t="str">
        <f t="shared" si="3"/>
        <v/>
      </c>
    </row>
    <row r="12">
      <c r="A12" s="52">
        <v>8.0</v>
      </c>
      <c r="B12" s="68"/>
      <c r="C12" s="22"/>
      <c r="D12" s="43"/>
      <c r="E12" s="70" t="str">
        <f t="shared" si="1"/>
        <v/>
      </c>
      <c r="F12" s="22"/>
      <c r="G12" s="43"/>
      <c r="H12" s="70" t="str">
        <f t="shared" si="2"/>
        <v/>
      </c>
      <c r="I12" s="22"/>
      <c r="J12" s="43"/>
      <c r="K12" s="70" t="str">
        <f t="shared" si="3"/>
        <v/>
      </c>
    </row>
    <row r="13">
      <c r="A13" s="49">
        <v>9.0</v>
      </c>
      <c r="B13" s="68"/>
      <c r="C13" s="22"/>
      <c r="D13" s="43"/>
      <c r="E13" s="69" t="str">
        <f t="shared" si="1"/>
        <v/>
      </c>
      <c r="F13" s="22"/>
      <c r="G13" s="43"/>
      <c r="H13" s="69" t="str">
        <f t="shared" si="2"/>
        <v/>
      </c>
      <c r="I13" s="22"/>
      <c r="J13" s="43"/>
      <c r="K13" s="69" t="str">
        <f t="shared" si="3"/>
        <v/>
      </c>
    </row>
    <row r="14">
      <c r="A14" s="52">
        <v>10.0</v>
      </c>
      <c r="B14" s="68"/>
      <c r="C14" s="22"/>
      <c r="D14" s="43"/>
      <c r="E14" s="70" t="str">
        <f t="shared" si="1"/>
        <v/>
      </c>
      <c r="F14" s="22"/>
      <c r="G14" s="43"/>
      <c r="H14" s="70" t="str">
        <f t="shared" si="2"/>
        <v/>
      </c>
      <c r="I14" s="22"/>
      <c r="J14" s="43"/>
      <c r="K14" s="70" t="str">
        <f t="shared" si="3"/>
        <v/>
      </c>
    </row>
    <row r="15">
      <c r="A15" s="49">
        <v>11.0</v>
      </c>
      <c r="B15" s="68"/>
      <c r="C15" s="22"/>
      <c r="D15" s="43"/>
      <c r="E15" s="69" t="str">
        <f t="shared" si="1"/>
        <v/>
      </c>
      <c r="F15" s="22"/>
      <c r="G15" s="43"/>
      <c r="H15" s="69" t="str">
        <f t="shared" si="2"/>
        <v/>
      </c>
      <c r="I15" s="22"/>
      <c r="J15" s="43"/>
      <c r="K15" s="69" t="str">
        <f t="shared" si="3"/>
        <v/>
      </c>
    </row>
    <row r="16">
      <c r="A16" s="52">
        <v>12.0</v>
      </c>
      <c r="B16" s="68"/>
      <c r="C16" s="22"/>
      <c r="D16" s="43"/>
      <c r="E16" s="70" t="str">
        <f t="shared" si="1"/>
        <v/>
      </c>
      <c r="F16" s="22"/>
      <c r="G16" s="43"/>
      <c r="H16" s="70" t="str">
        <f t="shared" si="2"/>
        <v/>
      </c>
      <c r="I16" s="22"/>
      <c r="J16" s="43"/>
      <c r="K16" s="70" t="str">
        <f t="shared" si="3"/>
        <v/>
      </c>
    </row>
    <row r="17">
      <c r="A17" s="49">
        <v>13.0</v>
      </c>
      <c r="B17" s="68"/>
      <c r="C17" s="22"/>
      <c r="D17" s="43"/>
      <c r="E17" s="69" t="str">
        <f t="shared" si="1"/>
        <v/>
      </c>
      <c r="F17" s="22"/>
      <c r="G17" s="43"/>
      <c r="H17" s="69" t="str">
        <f t="shared" si="2"/>
        <v/>
      </c>
      <c r="I17" s="22"/>
      <c r="J17" s="43"/>
      <c r="K17" s="69" t="str">
        <f t="shared" si="3"/>
        <v/>
      </c>
    </row>
    <row r="18">
      <c r="A18" s="52">
        <v>14.0</v>
      </c>
      <c r="B18" s="68"/>
      <c r="C18" s="22"/>
      <c r="D18" s="43"/>
      <c r="E18" s="70" t="str">
        <f t="shared" si="1"/>
        <v/>
      </c>
      <c r="F18" s="22"/>
      <c r="G18" s="43"/>
      <c r="H18" s="70" t="str">
        <f t="shared" si="2"/>
        <v/>
      </c>
      <c r="I18" s="22"/>
      <c r="J18" s="43"/>
      <c r="K18" s="70" t="str">
        <f t="shared" si="3"/>
        <v/>
      </c>
    </row>
    <row r="19">
      <c r="A19" s="49">
        <v>15.0</v>
      </c>
      <c r="B19" s="68"/>
      <c r="C19" s="22"/>
      <c r="D19" s="43"/>
      <c r="E19" s="69" t="str">
        <f t="shared" si="1"/>
        <v/>
      </c>
      <c r="F19" s="22"/>
      <c r="G19" s="43"/>
      <c r="H19" s="69" t="str">
        <f t="shared" si="2"/>
        <v/>
      </c>
      <c r="I19" s="22"/>
      <c r="J19" s="43"/>
      <c r="K19" s="69" t="str">
        <f t="shared" si="3"/>
        <v/>
      </c>
    </row>
    <row r="20">
      <c r="A20" s="52">
        <v>16.0</v>
      </c>
      <c r="B20" s="68"/>
      <c r="C20" s="22"/>
      <c r="D20" s="43"/>
      <c r="E20" s="70" t="str">
        <f t="shared" si="1"/>
        <v/>
      </c>
      <c r="F20" s="22"/>
      <c r="G20" s="43"/>
      <c r="H20" s="70" t="str">
        <f t="shared" si="2"/>
        <v/>
      </c>
      <c r="I20" s="22"/>
      <c r="J20" s="43"/>
      <c r="K20" s="70" t="str">
        <f t="shared" si="3"/>
        <v/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5" t="s">
        <v>580</v>
      </c>
      <c r="B22" s="2"/>
      <c r="C22" s="2"/>
      <c r="D22" s="2"/>
      <c r="E22" s="3"/>
      <c r="F22" s="4"/>
      <c r="G22" s="5" t="s">
        <v>581</v>
      </c>
      <c r="H22" s="2"/>
      <c r="I22" s="2"/>
      <c r="J22" s="2"/>
      <c r="K22" s="3"/>
    </row>
    <row r="23" ht="15.75" customHeight="1">
      <c r="A23" s="6" t="s">
        <v>64</v>
      </c>
      <c r="B23" s="6" t="s">
        <v>550</v>
      </c>
      <c r="C23" s="6" t="s">
        <v>582</v>
      </c>
      <c r="D23" s="6" t="s">
        <v>583</v>
      </c>
      <c r="E23" s="6" t="s">
        <v>584</v>
      </c>
      <c r="F23" s="4"/>
      <c r="G23" s="6" t="s">
        <v>585</v>
      </c>
      <c r="H23" s="6" t="s">
        <v>550</v>
      </c>
      <c r="I23" s="6" t="s">
        <v>586</v>
      </c>
      <c r="J23" s="6" t="s">
        <v>587</v>
      </c>
      <c r="K23" s="6" t="s">
        <v>588</v>
      </c>
    </row>
    <row r="24" ht="15.75" customHeight="1">
      <c r="A24" s="49">
        <v>1.0</v>
      </c>
      <c r="B24" s="68"/>
      <c r="C24" s="22"/>
      <c r="D24" s="43"/>
      <c r="E24" s="69" t="str">
        <f t="shared" ref="E24:E39" si="4">IF(OR(C24="",D24=""),"",ROUND(C24*(1+D24*0.0333),0))</f>
        <v/>
      </c>
      <c r="F24" s="4"/>
      <c r="G24" s="49">
        <v>1.0</v>
      </c>
      <c r="H24" s="68"/>
      <c r="I24" s="22"/>
      <c r="J24" s="47" t="s">
        <v>144</v>
      </c>
      <c r="K24" s="43"/>
    </row>
    <row r="25" ht="15.75" customHeight="1">
      <c r="A25" s="52">
        <v>2.0</v>
      </c>
      <c r="B25" s="68"/>
      <c r="C25" s="22"/>
      <c r="D25" s="43"/>
      <c r="E25" s="70" t="str">
        <f t="shared" si="4"/>
        <v/>
      </c>
      <c r="F25" s="4"/>
      <c r="G25" s="52">
        <v>2.0</v>
      </c>
      <c r="H25" s="68"/>
      <c r="I25" s="22"/>
      <c r="J25" s="71" t="str">
        <f t="shared" ref="J25:J31" si="5">IF(OR(I25="",I24=""),"",I25-I24)</f>
        <v/>
      </c>
      <c r="K25" s="43"/>
    </row>
    <row r="26" ht="15.75" customHeight="1">
      <c r="A26" s="49">
        <v>3.0</v>
      </c>
      <c r="B26" s="68"/>
      <c r="C26" s="22"/>
      <c r="D26" s="43"/>
      <c r="E26" s="69" t="str">
        <f t="shared" si="4"/>
        <v/>
      </c>
      <c r="F26" s="4"/>
      <c r="G26" s="49">
        <v>3.0</v>
      </c>
      <c r="H26" s="68"/>
      <c r="I26" s="22"/>
      <c r="J26" s="72" t="str">
        <f t="shared" si="5"/>
        <v/>
      </c>
      <c r="K26" s="43"/>
    </row>
    <row r="27" ht="15.75" customHeight="1">
      <c r="A27" s="52">
        <v>4.0</v>
      </c>
      <c r="B27" s="68"/>
      <c r="C27" s="22"/>
      <c r="D27" s="43"/>
      <c r="E27" s="70" t="str">
        <f t="shared" si="4"/>
        <v/>
      </c>
      <c r="F27" s="4"/>
      <c r="G27" s="52">
        <v>4.0</v>
      </c>
      <c r="H27" s="68"/>
      <c r="I27" s="22"/>
      <c r="J27" s="71" t="str">
        <f t="shared" si="5"/>
        <v/>
      </c>
      <c r="K27" s="43"/>
    </row>
    <row r="28" ht="15.75" customHeight="1">
      <c r="A28" s="49">
        <v>5.0</v>
      </c>
      <c r="B28" s="68"/>
      <c r="C28" s="22"/>
      <c r="D28" s="43"/>
      <c r="E28" s="69" t="str">
        <f t="shared" si="4"/>
        <v/>
      </c>
      <c r="F28" s="4"/>
      <c r="G28" s="49">
        <v>5.0</v>
      </c>
      <c r="H28" s="68"/>
      <c r="I28" s="22"/>
      <c r="J28" s="72" t="str">
        <f t="shared" si="5"/>
        <v/>
      </c>
      <c r="K28" s="43"/>
    </row>
    <row r="29" ht="15.75" customHeight="1">
      <c r="A29" s="52">
        <v>6.0</v>
      </c>
      <c r="B29" s="68"/>
      <c r="C29" s="22"/>
      <c r="D29" s="43"/>
      <c r="E29" s="70" t="str">
        <f t="shared" si="4"/>
        <v/>
      </c>
      <c r="F29" s="4"/>
      <c r="G29" s="52">
        <v>6.0</v>
      </c>
      <c r="H29" s="68"/>
      <c r="I29" s="22"/>
      <c r="J29" s="71" t="str">
        <f t="shared" si="5"/>
        <v/>
      </c>
      <c r="K29" s="43"/>
    </row>
    <row r="30" ht="15.75" customHeight="1">
      <c r="A30" s="49">
        <v>7.0</v>
      </c>
      <c r="B30" s="68"/>
      <c r="C30" s="22"/>
      <c r="D30" s="43"/>
      <c r="E30" s="69" t="str">
        <f t="shared" si="4"/>
        <v/>
      </c>
      <c r="F30" s="4"/>
      <c r="G30" s="49">
        <v>7.0</v>
      </c>
      <c r="H30" s="68"/>
      <c r="I30" s="22"/>
      <c r="J30" s="72" t="str">
        <f t="shared" si="5"/>
        <v/>
      </c>
      <c r="K30" s="43"/>
    </row>
    <row r="31" ht="15.75" customHeight="1">
      <c r="A31" s="52">
        <v>8.0</v>
      </c>
      <c r="B31" s="68"/>
      <c r="C31" s="22"/>
      <c r="D31" s="43"/>
      <c r="E31" s="70" t="str">
        <f t="shared" si="4"/>
        <v/>
      </c>
      <c r="F31" s="4"/>
      <c r="G31" s="52">
        <v>8.0</v>
      </c>
      <c r="H31" s="68"/>
      <c r="I31" s="22"/>
      <c r="J31" s="71" t="str">
        <f t="shared" si="5"/>
        <v/>
      </c>
      <c r="K31" s="43"/>
    </row>
    <row r="32" ht="15.75" customHeight="1">
      <c r="A32" s="49">
        <v>9.0</v>
      </c>
      <c r="B32" s="68"/>
      <c r="C32" s="22"/>
      <c r="D32" s="43"/>
      <c r="E32" s="69" t="str">
        <f t="shared" si="4"/>
        <v/>
      </c>
      <c r="F32" s="4"/>
      <c r="G32" s="4"/>
      <c r="H32" s="4"/>
      <c r="I32" s="4"/>
      <c r="J32" s="4"/>
      <c r="K32" s="4"/>
    </row>
    <row r="33" ht="15.75" customHeight="1">
      <c r="A33" s="52">
        <v>10.0</v>
      </c>
      <c r="B33" s="68"/>
      <c r="C33" s="22"/>
      <c r="D33" s="43"/>
      <c r="E33" s="70" t="str">
        <f t="shared" si="4"/>
        <v/>
      </c>
      <c r="F33" s="4"/>
      <c r="G33" s="4"/>
      <c r="H33" s="4"/>
      <c r="I33" s="4"/>
      <c r="J33" s="4"/>
      <c r="K33" s="4"/>
    </row>
    <row r="34" ht="15.75" customHeight="1">
      <c r="A34" s="49">
        <v>11.0</v>
      </c>
      <c r="B34" s="68"/>
      <c r="C34" s="22"/>
      <c r="D34" s="43"/>
      <c r="E34" s="69" t="str">
        <f t="shared" si="4"/>
        <v/>
      </c>
      <c r="F34" s="4"/>
      <c r="G34" s="4"/>
      <c r="H34" s="4"/>
      <c r="I34" s="4"/>
      <c r="J34" s="4"/>
      <c r="K34" s="4"/>
    </row>
    <row r="35" ht="15.75" customHeight="1">
      <c r="A35" s="52">
        <v>12.0</v>
      </c>
      <c r="B35" s="68"/>
      <c r="C35" s="22"/>
      <c r="D35" s="43"/>
      <c r="E35" s="70" t="str">
        <f t="shared" si="4"/>
        <v/>
      </c>
      <c r="F35" s="4"/>
      <c r="G35" s="4"/>
      <c r="H35" s="4"/>
      <c r="I35" s="4"/>
      <c r="J35" s="4"/>
      <c r="K35" s="4"/>
    </row>
    <row r="36" ht="15.75" customHeight="1">
      <c r="A36" s="49">
        <v>13.0</v>
      </c>
      <c r="B36" s="68"/>
      <c r="C36" s="22"/>
      <c r="D36" s="43"/>
      <c r="E36" s="69" t="str">
        <f t="shared" si="4"/>
        <v/>
      </c>
      <c r="F36" s="4"/>
      <c r="G36" s="4"/>
      <c r="H36" s="4"/>
      <c r="I36" s="4"/>
      <c r="J36" s="4"/>
      <c r="K36" s="4"/>
    </row>
    <row r="37" ht="15.75" customHeight="1">
      <c r="A37" s="52">
        <v>14.0</v>
      </c>
      <c r="B37" s="68"/>
      <c r="C37" s="22"/>
      <c r="D37" s="43"/>
      <c r="E37" s="70" t="str">
        <f t="shared" si="4"/>
        <v/>
      </c>
      <c r="F37" s="4"/>
      <c r="G37" s="4"/>
      <c r="H37" s="4"/>
      <c r="I37" s="4"/>
      <c r="J37" s="4"/>
      <c r="K37" s="4"/>
    </row>
    <row r="38" ht="15.75" customHeight="1">
      <c r="A38" s="49">
        <v>15.0</v>
      </c>
      <c r="B38" s="68"/>
      <c r="C38" s="22"/>
      <c r="D38" s="43"/>
      <c r="E38" s="69" t="str">
        <f t="shared" si="4"/>
        <v/>
      </c>
      <c r="F38" s="4"/>
      <c r="G38" s="4"/>
      <c r="H38" s="4"/>
      <c r="I38" s="4"/>
      <c r="J38" s="4"/>
      <c r="K38" s="4"/>
    </row>
    <row r="39" ht="15.75" customHeight="1">
      <c r="A39" s="52">
        <v>16.0</v>
      </c>
      <c r="B39" s="68"/>
      <c r="C39" s="22"/>
      <c r="D39" s="43"/>
      <c r="E39" s="70" t="str">
        <f t="shared" si="4"/>
        <v/>
      </c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0" customHeight="1">
      <c r="A41" s="73" t="s">
        <v>589</v>
      </c>
      <c r="B41" s="2"/>
      <c r="C41" s="2"/>
      <c r="D41" s="2"/>
      <c r="E41" s="2"/>
      <c r="F41" s="2"/>
      <c r="G41" s="2"/>
      <c r="H41" s="2"/>
      <c r="I41" s="2"/>
      <c r="J41" s="2"/>
      <c r="K41" s="3"/>
    </row>
    <row r="42" ht="15.0" customHeight="1">
      <c r="A42" s="74" t="s">
        <v>590</v>
      </c>
      <c r="B42" s="2"/>
      <c r="C42" s="2"/>
      <c r="D42" s="2"/>
      <c r="E42" s="3"/>
      <c r="F42" s="4"/>
      <c r="G42" s="4"/>
      <c r="H42" s="4"/>
      <c r="I42" s="4"/>
      <c r="J42" s="4"/>
      <c r="K42" s="4"/>
    </row>
    <row r="43" ht="15.0" customHeight="1">
      <c r="A43" s="75" t="s">
        <v>591</v>
      </c>
      <c r="B43" s="2"/>
      <c r="C43" s="2"/>
      <c r="D43" s="2"/>
      <c r="E43" s="3"/>
      <c r="F43" s="4"/>
      <c r="G43" s="4"/>
      <c r="H43" s="4"/>
      <c r="I43" s="4"/>
      <c r="J43" s="4"/>
      <c r="K43" s="4"/>
    </row>
    <row r="44" ht="15.0" customHeight="1">
      <c r="A44" s="76" t="s">
        <v>592</v>
      </c>
      <c r="B44" s="2"/>
      <c r="C44" s="2"/>
      <c r="D44" s="2"/>
      <c r="E44" s="3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3:K3"/>
    <mergeCell ref="A22:E22"/>
    <mergeCell ref="G22:K22"/>
    <mergeCell ref="A41:K41"/>
    <mergeCell ref="A42:E42"/>
    <mergeCell ref="A43:E43"/>
    <mergeCell ref="A44:E44"/>
  </mergeCells>
  <printOptions/>
  <pageMargins bottom="1.0" footer="0.0" header="0.0" left="0.75" right="0.75" top="1.0"/>
  <pageSetup paperSize="9" orientation="portrait"/>
  <drawing r:id="rId1"/>
</worksheet>
</file>